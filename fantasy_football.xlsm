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  <Override PartName="/xl/metadata" ContentType="application/binary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231" codeName="{DC747B9D-DBBB-FA85-71B4-595EBAB97821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rtayl\Downloads\"/>
    </mc:Choice>
  </mc:AlternateContent>
  <xr:revisionPtr revIDLastSave="0" documentId="13_ncr:1_{03EE3E9E-63F1-4D2F-8024-E8B588A1954C}" xr6:coauthVersionLast="47" xr6:coauthVersionMax="47" xr10:uidLastSave="{00000000-0000-0000-0000-000000000000}"/>
  <bookViews>
    <workbookView xWindow="-120" yWindow="-120" windowWidth="29040" windowHeight="15720" tabRatio="646" activeTab="3" xr2:uid="{00000000-000D-0000-FFFF-FFFF00000000}"/>
  </bookViews>
  <sheets>
    <sheet name="gamelog" sheetId="2" r:id="rId1"/>
    <sheet name="championship_games" sheetId="15" r:id="rId2"/>
    <sheet name="teams_owners" sheetId="14" r:id="rId3"/>
    <sheet name="reg_season_tables" sheetId="3" r:id="rId4"/>
    <sheet name="draft" sheetId="5" r:id="rId5"/>
    <sheet name="Bench Points" sheetId="7" state="hidden" r:id="rId6"/>
    <sheet name="PlayerPoints" sheetId="8" state="hidden" r:id="rId7"/>
  </sheets>
  <definedNames>
    <definedName name="_xlnm._FilterDatabase" localSheetId="4" hidden="1">draft!$A$1:$E$101</definedName>
    <definedName name="_xlnm._FilterDatabase" localSheetId="0" hidden="1">gamelog!$A$1:$H$631</definedName>
    <definedName name="_xlnm._FilterDatabase" localSheetId="3" hidden="1">reg_season_tables!$A$1:$M$101</definedName>
    <definedName name="_xlnm._FilterDatabase" localSheetId="2" hidden="1">teams_owners!$A$1:$B$1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  <ext uri="GoogleSheetsCustomDataVersion1">
      <go:sheetsCustomData xmlns:go="http://customooxmlschemas.google.com/" r:id="rId13" roundtripDataSignature="AMtx7mheMsF+QXQTvA6UpZ6UZvuHlMk28g=="/>
    </ext>
  </extLst>
</workbook>
</file>

<file path=xl/calcChain.xml><?xml version="1.0" encoding="utf-8"?>
<calcChain xmlns="http://schemas.openxmlformats.org/spreadsheetml/2006/main">
  <c r="N13" i="3" l="1"/>
  <c r="O13" i="3" s="1"/>
  <c r="N12" i="3"/>
  <c r="O12" i="3" s="1"/>
  <c r="N11" i="3"/>
  <c r="O11" i="3" s="1"/>
  <c r="N10" i="3"/>
  <c r="O10" i="3" s="1"/>
  <c r="N9" i="3"/>
  <c r="O9" i="3" s="1"/>
  <c r="N8" i="3"/>
  <c r="O8" i="3" s="1"/>
  <c r="N7" i="3"/>
  <c r="O7" i="3" s="1"/>
  <c r="N6" i="3"/>
  <c r="O6" i="3" s="1"/>
  <c r="N5" i="3"/>
  <c r="O5" i="3" s="1"/>
  <c r="N4" i="3"/>
  <c r="O4" i="3" s="1"/>
  <c r="N3" i="3"/>
  <c r="O3" i="3" s="1"/>
  <c r="N2" i="3"/>
  <c r="O2" i="3" s="1"/>
  <c r="D661" i="2"/>
  <c r="G667" i="2"/>
  <c r="G666" i="2"/>
  <c r="G665" i="2"/>
  <c r="G664" i="2"/>
  <c r="G663" i="2"/>
  <c r="G662" i="2"/>
  <c r="G661" i="2"/>
  <c r="G660" i="2"/>
  <c r="G659" i="2"/>
  <c r="G658" i="2"/>
  <c r="G657" i="2"/>
  <c r="G656" i="2"/>
  <c r="G655" i="2"/>
  <c r="G654" i="2"/>
  <c r="G653" i="2"/>
  <c r="G652" i="2"/>
  <c r="G651" i="2"/>
  <c r="G650" i="2"/>
  <c r="G649" i="2"/>
  <c r="G648" i="2"/>
  <c r="G647" i="2"/>
  <c r="G646" i="2"/>
  <c r="G645" i="2"/>
  <c r="G644" i="2"/>
  <c r="G643" i="2"/>
  <c r="G642" i="2"/>
  <c r="G641" i="2"/>
  <c r="G640" i="2"/>
  <c r="G639" i="2"/>
  <c r="G638" i="2"/>
  <c r="G637" i="2"/>
  <c r="G636" i="2"/>
  <c r="G635" i="2"/>
  <c r="G634" i="2"/>
  <c r="G633" i="2"/>
  <c r="G632" i="2"/>
  <c r="D667" i="2"/>
  <c r="D666" i="2"/>
  <c r="D665" i="2"/>
  <c r="D664" i="2"/>
  <c r="D663" i="2"/>
  <c r="D662" i="2"/>
  <c r="D660" i="2"/>
  <c r="D659" i="2"/>
  <c r="D658" i="2"/>
  <c r="D657" i="2"/>
  <c r="D656" i="2"/>
  <c r="D655" i="2"/>
  <c r="D654" i="2"/>
  <c r="D653" i="2"/>
  <c r="D652" i="2"/>
  <c r="D651" i="2"/>
  <c r="D650" i="2"/>
  <c r="D649" i="2"/>
  <c r="D648" i="2"/>
  <c r="D647" i="2"/>
  <c r="D646" i="2"/>
  <c r="D645" i="2"/>
  <c r="D644" i="2"/>
  <c r="D643" i="2"/>
  <c r="D642" i="2"/>
  <c r="D641" i="2"/>
  <c r="D640" i="2"/>
  <c r="D639" i="2"/>
  <c r="D638" i="2"/>
  <c r="D637" i="2"/>
  <c r="D636" i="2"/>
  <c r="D635" i="2"/>
  <c r="D634" i="2"/>
  <c r="D633" i="2"/>
  <c r="D632" i="2"/>
  <c r="L13" i="3"/>
  <c r="K13" i="3"/>
  <c r="L12" i="3"/>
  <c r="K12" i="3"/>
  <c r="L11" i="3"/>
  <c r="K11" i="3"/>
  <c r="L10" i="3"/>
  <c r="K10" i="3"/>
  <c r="L9" i="3"/>
  <c r="K9" i="3"/>
  <c r="L8" i="3"/>
  <c r="K8" i="3"/>
  <c r="L7" i="3"/>
  <c r="K7" i="3"/>
  <c r="L6" i="3"/>
  <c r="K6" i="3"/>
  <c r="L5" i="3"/>
  <c r="K5" i="3"/>
  <c r="L4" i="3"/>
  <c r="K4" i="3"/>
  <c r="L3" i="3"/>
  <c r="K3" i="3"/>
  <c r="L2" i="3"/>
  <c r="K2" i="3"/>
  <c r="H13" i="3"/>
  <c r="H12" i="3"/>
  <c r="H11" i="3"/>
  <c r="H10" i="3"/>
  <c r="H9" i="3"/>
  <c r="H8" i="3"/>
  <c r="H7" i="3"/>
  <c r="H6" i="3"/>
  <c r="H5" i="3"/>
  <c r="H4" i="3"/>
  <c r="H3" i="3"/>
  <c r="H2" i="3"/>
  <c r="G631" i="2"/>
  <c r="G630" i="2"/>
  <c r="D631" i="2"/>
  <c r="D630" i="2"/>
  <c r="G629" i="2"/>
  <c r="G628" i="2"/>
  <c r="G627" i="2"/>
  <c r="G626" i="2"/>
  <c r="G625" i="2"/>
  <c r="D629" i="2"/>
  <c r="D628" i="2"/>
  <c r="D627" i="2"/>
  <c r="D626" i="2"/>
  <c r="D625" i="2"/>
  <c r="D624" i="2"/>
  <c r="D623" i="2"/>
  <c r="D622" i="2"/>
  <c r="D621" i="2"/>
  <c r="D620" i="2"/>
  <c r="D619" i="2"/>
  <c r="D618" i="2"/>
  <c r="D617" i="2"/>
  <c r="D616" i="2"/>
  <c r="D615" i="2"/>
  <c r="D614" i="2"/>
  <c r="D613" i="2"/>
  <c r="D612" i="2"/>
  <c r="D611" i="2"/>
  <c r="D610" i="2"/>
  <c r="G624" i="2"/>
  <c r="G623" i="2"/>
  <c r="G622" i="2"/>
  <c r="G621" i="2"/>
  <c r="G620" i="2"/>
  <c r="G619" i="2"/>
  <c r="G618" i="2"/>
  <c r="G617" i="2"/>
  <c r="G616" i="2"/>
  <c r="G615" i="2"/>
  <c r="G614" i="2"/>
  <c r="G613" i="2"/>
  <c r="G612" i="2"/>
  <c r="G611" i="2"/>
  <c r="G610" i="2"/>
  <c r="G605" i="2"/>
  <c r="G606" i="2"/>
  <c r="G607" i="2"/>
  <c r="G608" i="2"/>
  <c r="G609" i="2"/>
  <c r="D605" i="2"/>
  <c r="D606" i="2"/>
  <c r="D607" i="2"/>
  <c r="D608" i="2"/>
  <c r="D609" i="2"/>
  <c r="G567" i="2"/>
  <c r="G568" i="2"/>
  <c r="G569" i="2"/>
  <c r="G570" i="2"/>
  <c r="G571" i="2"/>
  <c r="G572" i="2"/>
  <c r="G573" i="2"/>
  <c r="G574" i="2"/>
  <c r="G575" i="2"/>
  <c r="G576" i="2"/>
  <c r="G577" i="2"/>
  <c r="G578" i="2"/>
  <c r="G579" i="2"/>
  <c r="G580" i="2"/>
  <c r="G581" i="2"/>
  <c r="G582" i="2"/>
  <c r="G583" i="2"/>
  <c r="G584" i="2"/>
  <c r="G585" i="2"/>
  <c r="G586" i="2"/>
  <c r="G587" i="2"/>
  <c r="G588" i="2"/>
  <c r="G589" i="2"/>
  <c r="G590" i="2"/>
  <c r="G591" i="2"/>
  <c r="G592" i="2"/>
  <c r="G593" i="2"/>
  <c r="G594" i="2"/>
  <c r="G595" i="2"/>
  <c r="G596" i="2"/>
  <c r="G597" i="2"/>
  <c r="G598" i="2"/>
  <c r="G599" i="2"/>
  <c r="G600" i="2"/>
  <c r="G601" i="2"/>
  <c r="G602" i="2"/>
  <c r="G603" i="2"/>
  <c r="G604" i="2"/>
  <c r="D567" i="2"/>
  <c r="D568" i="2"/>
  <c r="D569" i="2"/>
  <c r="D570" i="2"/>
  <c r="D571" i="2"/>
  <c r="D572" i="2"/>
  <c r="D573" i="2"/>
  <c r="D574" i="2"/>
  <c r="D575" i="2"/>
  <c r="D576" i="2"/>
  <c r="D577" i="2"/>
  <c r="D578" i="2"/>
  <c r="D579" i="2"/>
  <c r="D580" i="2"/>
  <c r="D581" i="2"/>
  <c r="D582" i="2"/>
  <c r="D583" i="2"/>
  <c r="D584" i="2"/>
  <c r="D585" i="2"/>
  <c r="D586" i="2"/>
  <c r="D587" i="2"/>
  <c r="D588" i="2"/>
  <c r="D589" i="2"/>
  <c r="D590" i="2"/>
  <c r="D591" i="2"/>
  <c r="D592" i="2"/>
  <c r="D593" i="2"/>
  <c r="D594" i="2"/>
  <c r="D595" i="2"/>
  <c r="D596" i="2"/>
  <c r="D597" i="2"/>
  <c r="D598" i="2"/>
  <c r="D599" i="2"/>
  <c r="D600" i="2"/>
  <c r="D601" i="2"/>
  <c r="D602" i="2"/>
  <c r="D603" i="2"/>
  <c r="D604" i="2"/>
  <c r="G566" i="2"/>
  <c r="G565" i="2"/>
  <c r="G564" i="2"/>
  <c r="G563" i="2"/>
  <c r="G562" i="2"/>
  <c r="G561" i="2"/>
  <c r="G560" i="2"/>
  <c r="G559" i="2"/>
  <c r="G558" i="2"/>
  <c r="G557" i="2"/>
  <c r="G556" i="2"/>
  <c r="G555" i="2"/>
  <c r="G554" i="2"/>
  <c r="G553" i="2"/>
  <c r="G552" i="2"/>
  <c r="G551" i="2"/>
  <c r="D553" i="2"/>
  <c r="D552" i="2"/>
  <c r="D551" i="2"/>
  <c r="G444" i="2"/>
  <c r="G443" i="2"/>
  <c r="G442" i="2"/>
  <c r="G441" i="2"/>
  <c r="G440" i="2"/>
  <c r="G439" i="2"/>
  <c r="G438" i="2"/>
  <c r="G437" i="2"/>
  <c r="G436" i="2"/>
  <c r="G435" i="2"/>
  <c r="G434" i="2"/>
  <c r="G433" i="2"/>
  <c r="G432" i="2"/>
  <c r="G431" i="2"/>
  <c r="G430" i="2"/>
  <c r="G429" i="2"/>
  <c r="G428" i="2"/>
  <c r="G427" i="2"/>
  <c r="G426" i="2"/>
  <c r="G425" i="2"/>
  <c r="G424" i="2"/>
  <c r="G423" i="2"/>
  <c r="G422" i="2"/>
  <c r="G421" i="2"/>
  <c r="G420" i="2"/>
  <c r="G419" i="2"/>
  <c r="G418" i="2"/>
  <c r="G417" i="2"/>
  <c r="G416" i="2"/>
  <c r="G415" i="2"/>
  <c r="G414" i="2"/>
  <c r="G413" i="2"/>
  <c r="G412" i="2"/>
  <c r="G411" i="2"/>
  <c r="G410" i="2"/>
  <c r="G409" i="2"/>
  <c r="G408" i="2"/>
  <c r="G407" i="2"/>
  <c r="G406" i="2"/>
  <c r="G405" i="2"/>
  <c r="G404" i="2"/>
  <c r="G403" i="2"/>
  <c r="G402" i="2"/>
  <c r="G401" i="2"/>
  <c r="G400" i="2"/>
  <c r="G399" i="2"/>
  <c r="G398" i="2"/>
  <c r="G397" i="2"/>
  <c r="G396" i="2"/>
  <c r="G395" i="2"/>
  <c r="G394" i="2"/>
  <c r="G393" i="2"/>
  <c r="G392" i="2"/>
  <c r="G391" i="2"/>
  <c r="G390" i="2"/>
  <c r="G389" i="2"/>
  <c r="G388" i="2"/>
  <c r="G387" i="2"/>
  <c r="G386" i="2"/>
  <c r="G385" i="2"/>
  <c r="G384" i="2"/>
  <c r="G383" i="2"/>
  <c r="G382" i="2"/>
  <c r="G381" i="2"/>
  <c r="G380" i="2"/>
  <c r="G379" i="2"/>
  <c r="G378" i="2"/>
  <c r="G377" i="2"/>
  <c r="G376" i="2"/>
  <c r="G375" i="2"/>
  <c r="G374" i="2"/>
  <c r="G373" i="2"/>
  <c r="G372" i="2"/>
  <c r="G371" i="2"/>
  <c r="G370" i="2"/>
  <c r="G369" i="2"/>
  <c r="G368" i="2"/>
  <c r="G367" i="2"/>
  <c r="G366" i="2"/>
  <c r="G365" i="2"/>
  <c r="G364" i="2"/>
  <c r="G363" i="2"/>
  <c r="G362" i="2"/>
  <c r="G361" i="2"/>
  <c r="G360" i="2"/>
  <c r="G359" i="2"/>
  <c r="G358" i="2"/>
  <c r="G357" i="2"/>
  <c r="G356" i="2"/>
  <c r="G355" i="2"/>
  <c r="G354" i="2"/>
  <c r="G353" i="2"/>
  <c r="G352" i="2"/>
  <c r="G351" i="2"/>
  <c r="G350" i="2"/>
  <c r="G349" i="2"/>
  <c r="G348" i="2"/>
  <c r="G347" i="2"/>
  <c r="G346" i="2"/>
  <c r="G345" i="2"/>
  <c r="G344" i="2"/>
  <c r="G343" i="2"/>
  <c r="G342" i="2"/>
  <c r="G341" i="2"/>
  <c r="G340" i="2"/>
  <c r="G339" i="2"/>
  <c r="G338" i="2"/>
  <c r="G337" i="2"/>
  <c r="G336" i="2"/>
  <c r="G335" i="2"/>
  <c r="G334" i="2"/>
  <c r="G333" i="2"/>
  <c r="G332" i="2"/>
  <c r="G331" i="2"/>
  <c r="G330" i="2"/>
  <c r="G329" i="2"/>
  <c r="G328" i="2"/>
  <c r="G327" i="2"/>
  <c r="G326" i="2"/>
  <c r="G325" i="2"/>
  <c r="G324" i="2"/>
  <c r="G323" i="2"/>
  <c r="G322" i="2"/>
  <c r="G321" i="2"/>
  <c r="G320" i="2"/>
  <c r="G319" i="2"/>
  <c r="G318" i="2"/>
  <c r="G317" i="2"/>
  <c r="G316" i="2"/>
  <c r="G315" i="2"/>
  <c r="G314" i="2"/>
  <c r="G313" i="2"/>
  <c r="G312" i="2"/>
  <c r="G311" i="2"/>
  <c r="G310" i="2"/>
  <c r="G309" i="2"/>
  <c r="G308" i="2"/>
  <c r="G307" i="2"/>
  <c r="G306" i="2"/>
  <c r="G305" i="2"/>
  <c r="G304" i="2"/>
  <c r="G303" i="2"/>
  <c r="G302" i="2"/>
  <c r="G301" i="2"/>
  <c r="G300" i="2"/>
  <c r="G299" i="2"/>
  <c r="G298" i="2"/>
  <c r="G297" i="2"/>
  <c r="G296" i="2"/>
  <c r="G295" i="2"/>
  <c r="G294" i="2"/>
  <c r="G293" i="2"/>
  <c r="G292" i="2"/>
  <c r="G291" i="2"/>
  <c r="G290" i="2"/>
  <c r="G289" i="2"/>
  <c r="G288" i="2"/>
  <c r="G287" i="2"/>
  <c r="G286" i="2"/>
  <c r="G285" i="2"/>
  <c r="G284" i="2"/>
  <c r="G283" i="2"/>
  <c r="G282" i="2"/>
  <c r="G281" i="2"/>
  <c r="G280" i="2"/>
  <c r="G279" i="2"/>
  <c r="G278" i="2"/>
  <c r="G277" i="2"/>
  <c r="G276" i="2"/>
  <c r="G275" i="2"/>
  <c r="G274" i="2"/>
  <c r="G273" i="2"/>
  <c r="G272" i="2"/>
  <c r="G271" i="2"/>
  <c r="G270" i="2"/>
  <c r="G269" i="2"/>
  <c r="G268" i="2"/>
  <c r="G267" i="2"/>
  <c r="G266" i="2"/>
  <c r="G265" i="2"/>
  <c r="G264" i="2"/>
  <c r="G263" i="2"/>
  <c r="G262" i="2"/>
  <c r="G261" i="2"/>
  <c r="G260" i="2"/>
  <c r="G259" i="2"/>
  <c r="G258" i="2"/>
  <c r="G257" i="2"/>
  <c r="G256" i="2"/>
  <c r="G255" i="2"/>
  <c r="G254" i="2"/>
  <c r="G253" i="2"/>
  <c r="G252" i="2"/>
  <c r="G251" i="2"/>
  <c r="G250" i="2"/>
  <c r="G249" i="2"/>
  <c r="G248" i="2"/>
  <c r="G247" i="2"/>
  <c r="G246" i="2"/>
  <c r="G245" i="2"/>
  <c r="G244" i="2"/>
  <c r="G243" i="2"/>
  <c r="G242" i="2"/>
  <c r="G241" i="2"/>
  <c r="G240" i="2"/>
  <c r="G239" i="2"/>
  <c r="G238" i="2"/>
  <c r="G237" i="2"/>
  <c r="G236" i="2"/>
  <c r="G235" i="2"/>
  <c r="G234" i="2"/>
  <c r="G233" i="2"/>
  <c r="G232" i="2"/>
  <c r="G231" i="2"/>
  <c r="G230" i="2"/>
  <c r="G229" i="2"/>
  <c r="G228" i="2"/>
  <c r="G227" i="2"/>
  <c r="G226" i="2"/>
  <c r="G225" i="2"/>
  <c r="G224" i="2"/>
  <c r="G223" i="2"/>
  <c r="G222" i="2"/>
  <c r="G221" i="2"/>
  <c r="G220" i="2"/>
  <c r="G219" i="2"/>
  <c r="G218" i="2"/>
  <c r="G217" i="2"/>
  <c r="G216" i="2"/>
  <c r="G215" i="2"/>
  <c r="G214" i="2"/>
  <c r="G213" i="2"/>
  <c r="G212" i="2"/>
  <c r="G211" i="2"/>
  <c r="G210" i="2"/>
  <c r="G209" i="2"/>
  <c r="G208" i="2"/>
  <c r="G207" i="2"/>
  <c r="G206" i="2"/>
  <c r="G205" i="2"/>
  <c r="G204" i="2"/>
  <c r="G203" i="2"/>
  <c r="G202" i="2"/>
  <c r="G201" i="2"/>
  <c r="G200" i="2"/>
  <c r="G199" i="2"/>
  <c r="G198" i="2"/>
  <c r="G197" i="2"/>
  <c r="G196" i="2"/>
  <c r="G195" i="2"/>
  <c r="G194" i="2"/>
  <c r="G193" i="2"/>
  <c r="G192" i="2"/>
  <c r="G191" i="2"/>
  <c r="G190" i="2"/>
  <c r="G189" i="2"/>
  <c r="G188" i="2"/>
  <c r="G187" i="2"/>
  <c r="G186" i="2"/>
  <c r="G185" i="2"/>
  <c r="G184" i="2"/>
  <c r="G183" i="2"/>
  <c r="G182" i="2"/>
  <c r="G181" i="2"/>
  <c r="G180" i="2"/>
  <c r="G179" i="2"/>
  <c r="G178" i="2"/>
  <c r="G177" i="2"/>
  <c r="G176" i="2"/>
  <c r="G175" i="2"/>
  <c r="G174" i="2"/>
  <c r="G173" i="2"/>
  <c r="G172" i="2"/>
  <c r="G171" i="2"/>
  <c r="G170" i="2"/>
  <c r="G169" i="2"/>
  <c r="G168" i="2"/>
  <c r="G167" i="2"/>
  <c r="G166" i="2"/>
  <c r="G165" i="2"/>
  <c r="G164" i="2"/>
  <c r="G163" i="2"/>
  <c r="G162" i="2"/>
  <c r="G161" i="2"/>
  <c r="G160" i="2"/>
  <c r="G159" i="2"/>
  <c r="G158" i="2"/>
  <c r="G157" i="2"/>
  <c r="G156" i="2"/>
  <c r="G155" i="2"/>
  <c r="G154" i="2"/>
  <c r="G153" i="2"/>
  <c r="G152" i="2"/>
  <c r="G151" i="2"/>
  <c r="G150" i="2"/>
  <c r="G149" i="2"/>
  <c r="G148" i="2"/>
  <c r="G147" i="2"/>
  <c r="G146" i="2"/>
  <c r="G145" i="2"/>
  <c r="G144" i="2"/>
  <c r="G143" i="2"/>
  <c r="G142" i="2"/>
  <c r="G141" i="2"/>
  <c r="G140" i="2"/>
  <c r="G139" i="2"/>
  <c r="G138" i="2"/>
  <c r="G137" i="2"/>
  <c r="G136" i="2"/>
  <c r="G135" i="2"/>
  <c r="G134" i="2"/>
  <c r="G133" i="2"/>
  <c r="G132" i="2"/>
  <c r="G131" i="2"/>
  <c r="G130" i="2"/>
  <c r="G129" i="2"/>
  <c r="G128" i="2"/>
  <c r="G127" i="2"/>
  <c r="G126" i="2"/>
  <c r="G125" i="2"/>
  <c r="G124" i="2"/>
  <c r="G123" i="2"/>
  <c r="G122" i="2"/>
  <c r="G121" i="2"/>
  <c r="G120" i="2"/>
  <c r="G119" i="2"/>
  <c r="G118" i="2"/>
  <c r="G117" i="2"/>
  <c r="G116" i="2"/>
  <c r="G115" i="2"/>
  <c r="G114" i="2"/>
  <c r="G113" i="2"/>
  <c r="G112" i="2"/>
  <c r="G111" i="2"/>
  <c r="G110" i="2"/>
  <c r="G109" i="2"/>
  <c r="G108" i="2"/>
  <c r="G107" i="2"/>
  <c r="G106" i="2"/>
  <c r="G105" i="2"/>
  <c r="G104" i="2"/>
  <c r="G103" i="2"/>
  <c r="G102" i="2"/>
  <c r="G101" i="2"/>
  <c r="G100" i="2"/>
  <c r="G99" i="2"/>
  <c r="G98" i="2"/>
  <c r="G97" i="2"/>
  <c r="G96" i="2"/>
  <c r="G95" i="2"/>
  <c r="G94" i="2"/>
  <c r="G93" i="2"/>
  <c r="G92" i="2"/>
  <c r="G91" i="2"/>
  <c r="G90" i="2"/>
  <c r="G89" i="2"/>
  <c r="G88" i="2"/>
  <c r="G87" i="2"/>
  <c r="G86" i="2"/>
  <c r="G85" i="2"/>
  <c r="G84" i="2"/>
  <c r="G83" i="2"/>
  <c r="G82" i="2"/>
  <c r="G81" i="2"/>
  <c r="G80" i="2"/>
  <c r="G79" i="2"/>
  <c r="G78" i="2"/>
  <c r="G77" i="2"/>
  <c r="G76" i="2"/>
  <c r="G75" i="2"/>
  <c r="G74" i="2"/>
  <c r="G73" i="2"/>
  <c r="G72" i="2"/>
  <c r="G71" i="2"/>
  <c r="G70" i="2"/>
  <c r="G69" i="2"/>
  <c r="G68" i="2"/>
  <c r="G67" i="2"/>
  <c r="G66" i="2"/>
  <c r="G65" i="2"/>
  <c r="G64" i="2"/>
  <c r="G63" i="2"/>
  <c r="G62" i="2"/>
  <c r="G61" i="2"/>
  <c r="G60" i="2"/>
  <c r="G59" i="2"/>
  <c r="G58" i="2"/>
  <c r="G57" i="2"/>
  <c r="G56" i="2"/>
  <c r="G55" i="2"/>
  <c r="G54" i="2"/>
  <c r="G53" i="2"/>
  <c r="G52" i="2"/>
  <c r="G51" i="2"/>
  <c r="G50" i="2"/>
  <c r="G49" i="2"/>
  <c r="G48" i="2"/>
  <c r="G47" i="2"/>
  <c r="G46" i="2"/>
  <c r="G45" i="2"/>
  <c r="G44" i="2"/>
  <c r="G43" i="2"/>
  <c r="G42" i="2"/>
  <c r="G41" i="2"/>
  <c r="G40" i="2"/>
  <c r="G39" i="2"/>
  <c r="G38" i="2"/>
  <c r="G37" i="2"/>
  <c r="G36" i="2"/>
  <c r="G35" i="2"/>
  <c r="G34" i="2"/>
  <c r="G33" i="2"/>
  <c r="G32" i="2"/>
  <c r="G31" i="2"/>
  <c r="G30" i="2"/>
  <c r="G29" i="2"/>
  <c r="G28" i="2"/>
  <c r="G27" i="2"/>
  <c r="G26" i="2"/>
  <c r="G25" i="2"/>
  <c r="G24" i="2"/>
  <c r="G23" i="2"/>
  <c r="G22" i="2"/>
  <c r="G21" i="2"/>
  <c r="G20" i="2"/>
  <c r="G19" i="2"/>
  <c r="G18" i="2"/>
  <c r="G17" i="2"/>
  <c r="G16" i="2"/>
  <c r="G15" i="2"/>
  <c r="G14" i="2"/>
  <c r="G13" i="2"/>
  <c r="G12" i="2"/>
  <c r="G11" i="2"/>
  <c r="G10" i="2"/>
  <c r="G9" i="2"/>
  <c r="G8" i="2"/>
  <c r="G7" i="2"/>
  <c r="G6" i="2"/>
  <c r="G5" i="2"/>
  <c r="G4" i="2"/>
  <c r="G3" i="2"/>
  <c r="G2" i="2"/>
  <c r="D565" i="2"/>
  <c r="D564" i="2"/>
  <c r="D563" i="2"/>
  <c r="D562" i="2"/>
  <c r="D561" i="2"/>
  <c r="D560" i="2"/>
  <c r="D559" i="2"/>
  <c r="D558" i="2"/>
  <c r="D557" i="2"/>
  <c r="D556" i="2"/>
  <c r="D555" i="2"/>
  <c r="D554" i="2"/>
  <c r="D550" i="2"/>
  <c r="D549" i="2"/>
  <c r="D548" i="2"/>
  <c r="D547" i="2"/>
  <c r="D546" i="2"/>
  <c r="D545" i="2"/>
  <c r="D544" i="2"/>
  <c r="D543" i="2"/>
  <c r="D542" i="2"/>
  <c r="D541" i="2"/>
  <c r="D540" i="2"/>
  <c r="D539" i="2"/>
  <c r="D538" i="2"/>
  <c r="D537" i="2"/>
  <c r="D536" i="2"/>
  <c r="D535" i="2"/>
  <c r="D534" i="2"/>
  <c r="D533" i="2"/>
  <c r="D532" i="2"/>
  <c r="D531" i="2"/>
  <c r="D530" i="2"/>
  <c r="D529" i="2"/>
  <c r="D528" i="2"/>
  <c r="D527" i="2"/>
  <c r="D526" i="2"/>
  <c r="D525" i="2"/>
  <c r="D524" i="2"/>
  <c r="D523" i="2"/>
  <c r="D522" i="2"/>
  <c r="D521" i="2"/>
  <c r="D520" i="2"/>
  <c r="D519" i="2"/>
  <c r="D518" i="2"/>
  <c r="D517" i="2"/>
  <c r="D516" i="2"/>
  <c r="D515" i="2"/>
  <c r="D514" i="2"/>
  <c r="D513" i="2"/>
  <c r="D512" i="2"/>
  <c r="D511" i="2"/>
  <c r="D510" i="2"/>
  <c r="D509" i="2"/>
  <c r="D508" i="2"/>
  <c r="D507" i="2"/>
  <c r="D506" i="2"/>
  <c r="D505" i="2"/>
  <c r="D504" i="2"/>
  <c r="D503" i="2"/>
  <c r="D502" i="2"/>
  <c r="D501" i="2"/>
  <c r="D500" i="2"/>
  <c r="D499" i="2"/>
  <c r="D498" i="2"/>
  <c r="D497" i="2"/>
  <c r="D496" i="2"/>
  <c r="D495" i="2"/>
  <c r="D494" i="2"/>
  <c r="D493" i="2"/>
  <c r="D492" i="2"/>
  <c r="D491" i="2"/>
  <c r="D490" i="2"/>
  <c r="D489" i="2"/>
  <c r="D488" i="2"/>
  <c r="D487" i="2"/>
  <c r="D486" i="2"/>
  <c r="D485" i="2"/>
  <c r="D484" i="2"/>
  <c r="D483" i="2"/>
  <c r="D482" i="2"/>
  <c r="D481" i="2"/>
  <c r="D480" i="2"/>
  <c r="D479" i="2"/>
  <c r="D478" i="2"/>
  <c r="D477" i="2"/>
  <c r="D476" i="2"/>
  <c r="D475" i="2"/>
  <c r="D474" i="2"/>
  <c r="D473" i="2"/>
  <c r="D472" i="2"/>
  <c r="D471" i="2"/>
  <c r="D470" i="2"/>
  <c r="D469" i="2"/>
  <c r="D468" i="2"/>
  <c r="D467" i="2"/>
  <c r="D466" i="2"/>
  <c r="D465" i="2"/>
  <c r="D464" i="2"/>
  <c r="D463" i="2"/>
  <c r="D462" i="2"/>
  <c r="D461" i="2"/>
  <c r="D460" i="2"/>
  <c r="D459" i="2"/>
  <c r="D458" i="2"/>
  <c r="D457" i="2"/>
  <c r="D456" i="2"/>
  <c r="D455" i="2"/>
  <c r="D454" i="2"/>
  <c r="D453" i="2"/>
  <c r="D452" i="2"/>
  <c r="D451" i="2"/>
  <c r="D450" i="2"/>
  <c r="D449" i="2"/>
  <c r="D448" i="2"/>
  <c r="D447" i="2"/>
  <c r="D446" i="2"/>
  <c r="D445" i="2"/>
  <c r="D444" i="2"/>
  <c r="D443" i="2"/>
  <c r="D442" i="2"/>
  <c r="D441" i="2"/>
  <c r="D440" i="2"/>
  <c r="D439" i="2"/>
  <c r="D438" i="2"/>
  <c r="D437" i="2"/>
  <c r="D436" i="2"/>
  <c r="D435" i="2"/>
  <c r="D434" i="2"/>
  <c r="D433" i="2"/>
  <c r="D432" i="2"/>
  <c r="D431" i="2"/>
  <c r="D430" i="2"/>
  <c r="D429" i="2"/>
  <c r="D428" i="2"/>
  <c r="D427" i="2"/>
  <c r="D426" i="2"/>
  <c r="D425" i="2"/>
  <c r="D424" i="2"/>
  <c r="D423" i="2"/>
  <c r="D422" i="2"/>
  <c r="D421" i="2"/>
  <c r="D420" i="2"/>
  <c r="D419" i="2"/>
  <c r="D418" i="2"/>
  <c r="D417" i="2"/>
  <c r="D416" i="2"/>
  <c r="D415" i="2"/>
  <c r="D414" i="2"/>
  <c r="D413" i="2"/>
  <c r="D412" i="2"/>
  <c r="D411" i="2"/>
  <c r="D410" i="2"/>
  <c r="D409" i="2"/>
  <c r="D408" i="2"/>
  <c r="D407" i="2"/>
  <c r="D406" i="2"/>
  <c r="D405" i="2"/>
  <c r="D404" i="2"/>
  <c r="D403" i="2"/>
  <c r="D402" i="2"/>
  <c r="D401" i="2"/>
  <c r="D400" i="2"/>
  <c r="D399" i="2"/>
  <c r="D398" i="2"/>
  <c r="D397" i="2"/>
  <c r="D396" i="2"/>
  <c r="D395" i="2"/>
  <c r="D394" i="2"/>
  <c r="D393" i="2"/>
  <c r="D392" i="2"/>
  <c r="D391" i="2"/>
  <c r="D390" i="2"/>
  <c r="D389" i="2"/>
  <c r="D388" i="2"/>
  <c r="D387" i="2"/>
  <c r="D386" i="2"/>
  <c r="D385" i="2"/>
  <c r="D384" i="2"/>
  <c r="D383" i="2"/>
  <c r="D382" i="2"/>
  <c r="D381" i="2"/>
  <c r="D380" i="2"/>
  <c r="D379" i="2"/>
  <c r="D378" i="2"/>
  <c r="D377" i="2"/>
  <c r="D376" i="2"/>
  <c r="D375" i="2"/>
  <c r="D374" i="2"/>
  <c r="D373" i="2"/>
  <c r="D372" i="2"/>
  <c r="D371" i="2"/>
  <c r="D370" i="2"/>
  <c r="D369" i="2"/>
  <c r="D368" i="2"/>
  <c r="D367" i="2"/>
  <c r="D366" i="2"/>
  <c r="D365" i="2"/>
  <c r="D364" i="2"/>
  <c r="D363" i="2"/>
  <c r="D362" i="2"/>
  <c r="D361" i="2"/>
  <c r="D360" i="2"/>
  <c r="D359" i="2"/>
  <c r="D358" i="2"/>
  <c r="D357" i="2"/>
  <c r="D356" i="2"/>
  <c r="D355" i="2"/>
  <c r="D354" i="2"/>
  <c r="D353" i="2"/>
  <c r="D352" i="2"/>
  <c r="D351" i="2"/>
  <c r="D350" i="2"/>
  <c r="D349" i="2"/>
  <c r="D348" i="2"/>
  <c r="D347" i="2"/>
  <c r="D346" i="2"/>
  <c r="D345" i="2"/>
  <c r="D344" i="2"/>
  <c r="D343" i="2"/>
  <c r="D342" i="2"/>
  <c r="D341" i="2"/>
  <c r="D340" i="2"/>
  <c r="D339" i="2"/>
  <c r="D338" i="2"/>
  <c r="D337" i="2"/>
  <c r="D336" i="2"/>
  <c r="D335" i="2"/>
  <c r="D334" i="2"/>
  <c r="D333" i="2"/>
  <c r="D332" i="2"/>
  <c r="D331" i="2"/>
  <c r="D330" i="2"/>
  <c r="D329" i="2"/>
  <c r="D328" i="2"/>
  <c r="D327" i="2"/>
  <c r="D326" i="2"/>
  <c r="D325" i="2"/>
  <c r="D324" i="2"/>
  <c r="D323" i="2"/>
  <c r="D322" i="2"/>
  <c r="D321" i="2"/>
  <c r="D320" i="2"/>
  <c r="D319" i="2"/>
  <c r="D318" i="2"/>
  <c r="D317" i="2"/>
  <c r="D316" i="2"/>
  <c r="D315" i="2"/>
  <c r="D314" i="2"/>
  <c r="D313" i="2"/>
  <c r="D312" i="2"/>
  <c r="D311" i="2"/>
  <c r="D310" i="2"/>
  <c r="D309" i="2"/>
  <c r="D308" i="2"/>
  <c r="D307" i="2"/>
  <c r="D306" i="2"/>
  <c r="D305" i="2"/>
  <c r="D304" i="2"/>
  <c r="D303" i="2"/>
  <c r="D302" i="2"/>
  <c r="D301" i="2"/>
  <c r="D300" i="2"/>
  <c r="D299" i="2"/>
  <c r="D298" i="2"/>
  <c r="D297" i="2"/>
  <c r="D296" i="2"/>
  <c r="D295" i="2"/>
  <c r="D294" i="2"/>
  <c r="D293" i="2"/>
  <c r="D292" i="2"/>
  <c r="D291" i="2"/>
  <c r="D290" i="2"/>
  <c r="D289" i="2"/>
  <c r="D288" i="2"/>
  <c r="D287" i="2"/>
  <c r="D286" i="2"/>
  <c r="D285" i="2"/>
  <c r="D284" i="2"/>
  <c r="D283" i="2"/>
  <c r="D282" i="2"/>
  <c r="D281" i="2"/>
  <c r="D280" i="2"/>
  <c r="D279" i="2"/>
  <c r="D278" i="2"/>
  <c r="D277" i="2"/>
  <c r="D276" i="2"/>
  <c r="D275" i="2"/>
  <c r="D274" i="2"/>
  <c r="D273" i="2"/>
  <c r="D272" i="2"/>
  <c r="D271" i="2"/>
  <c r="D270" i="2"/>
  <c r="D269" i="2"/>
  <c r="D268" i="2"/>
  <c r="D267" i="2"/>
  <c r="D266" i="2"/>
  <c r="D265" i="2"/>
  <c r="D264" i="2"/>
  <c r="D263" i="2"/>
  <c r="D262" i="2"/>
  <c r="D261" i="2"/>
  <c r="D260" i="2"/>
  <c r="D259" i="2"/>
  <c r="D258" i="2"/>
  <c r="D257" i="2"/>
  <c r="D256" i="2"/>
  <c r="D255" i="2"/>
  <c r="D254" i="2"/>
  <c r="D253" i="2"/>
  <c r="D252" i="2"/>
  <c r="D251" i="2"/>
  <c r="D250" i="2"/>
  <c r="D249" i="2"/>
  <c r="D248" i="2"/>
  <c r="D247" i="2"/>
  <c r="D246" i="2"/>
  <c r="D245" i="2"/>
  <c r="D244" i="2"/>
  <c r="D243" i="2"/>
  <c r="D242" i="2"/>
  <c r="D241" i="2"/>
  <c r="D240" i="2"/>
  <c r="D239" i="2"/>
  <c r="D238" i="2"/>
  <c r="D237" i="2"/>
  <c r="D236" i="2"/>
  <c r="D235" i="2"/>
  <c r="D234" i="2"/>
  <c r="D233" i="2"/>
  <c r="D232" i="2"/>
  <c r="D231" i="2"/>
  <c r="D230" i="2"/>
  <c r="D229" i="2"/>
  <c r="D228" i="2"/>
  <c r="D227" i="2"/>
  <c r="D226" i="2"/>
  <c r="D225" i="2"/>
  <c r="D224" i="2"/>
  <c r="D223" i="2"/>
  <c r="D222" i="2"/>
  <c r="D221" i="2"/>
  <c r="D220" i="2"/>
  <c r="D219" i="2"/>
  <c r="D218" i="2"/>
  <c r="D217" i="2"/>
  <c r="D216" i="2"/>
  <c r="D215" i="2"/>
  <c r="D214" i="2"/>
  <c r="D213" i="2"/>
  <c r="D212" i="2"/>
  <c r="D211" i="2"/>
  <c r="D210" i="2"/>
  <c r="D209" i="2"/>
  <c r="D208" i="2"/>
  <c r="D207" i="2"/>
  <c r="D206" i="2"/>
  <c r="D205" i="2"/>
  <c r="D204" i="2"/>
  <c r="D203" i="2"/>
  <c r="D202" i="2"/>
  <c r="D201" i="2"/>
  <c r="D200" i="2"/>
  <c r="D199" i="2"/>
  <c r="D198" i="2"/>
  <c r="D197" i="2"/>
  <c r="D196" i="2"/>
  <c r="D195" i="2"/>
  <c r="D194" i="2"/>
  <c r="D193" i="2"/>
  <c r="D192" i="2"/>
  <c r="D191" i="2"/>
  <c r="D190" i="2"/>
  <c r="D189" i="2"/>
  <c r="D188" i="2"/>
  <c r="D187" i="2"/>
  <c r="D186" i="2"/>
  <c r="D185" i="2"/>
  <c r="D184" i="2"/>
  <c r="D183" i="2"/>
  <c r="D182" i="2"/>
  <c r="D181" i="2"/>
  <c r="D180" i="2"/>
  <c r="D179" i="2"/>
  <c r="D178" i="2"/>
  <c r="D177" i="2"/>
  <c r="D176" i="2"/>
  <c r="D175" i="2"/>
  <c r="D174" i="2"/>
  <c r="D173" i="2"/>
  <c r="D172" i="2"/>
  <c r="D171" i="2"/>
  <c r="D170" i="2"/>
  <c r="D169" i="2"/>
  <c r="D168" i="2"/>
  <c r="D167" i="2"/>
  <c r="D166" i="2"/>
  <c r="D165" i="2"/>
  <c r="D164" i="2"/>
  <c r="D163" i="2"/>
  <c r="D162" i="2"/>
  <c r="D161" i="2"/>
  <c r="D160" i="2"/>
  <c r="D159" i="2"/>
  <c r="D158" i="2"/>
  <c r="D157" i="2"/>
  <c r="D156" i="2"/>
  <c r="D155" i="2"/>
  <c r="D154" i="2"/>
  <c r="D153" i="2"/>
  <c r="D152" i="2"/>
  <c r="D151" i="2"/>
  <c r="D150" i="2"/>
  <c r="D149" i="2"/>
  <c r="D148" i="2"/>
  <c r="D147" i="2"/>
  <c r="D146" i="2"/>
  <c r="D145" i="2"/>
  <c r="D144" i="2"/>
  <c r="D143" i="2"/>
  <c r="D142" i="2"/>
  <c r="D141" i="2"/>
  <c r="D140" i="2"/>
  <c r="D139" i="2"/>
  <c r="D138" i="2"/>
  <c r="D137" i="2"/>
  <c r="D136" i="2"/>
  <c r="D135" i="2"/>
  <c r="D134" i="2"/>
  <c r="D133" i="2"/>
  <c r="D132" i="2"/>
  <c r="D131" i="2"/>
  <c r="D130" i="2"/>
  <c r="D129" i="2"/>
  <c r="D128" i="2"/>
  <c r="D127" i="2"/>
  <c r="D126" i="2"/>
  <c r="D125" i="2"/>
  <c r="D124" i="2"/>
  <c r="D123" i="2"/>
  <c r="D122" i="2"/>
  <c r="D121" i="2"/>
  <c r="D120" i="2"/>
  <c r="D119" i="2"/>
  <c r="D118" i="2"/>
  <c r="D117" i="2"/>
  <c r="D116" i="2"/>
  <c r="D115" i="2"/>
  <c r="D114" i="2"/>
  <c r="D113" i="2"/>
  <c r="D112" i="2"/>
  <c r="D111" i="2"/>
  <c r="D110" i="2"/>
  <c r="D109" i="2"/>
  <c r="D108" i="2"/>
  <c r="D107" i="2"/>
  <c r="D106" i="2"/>
  <c r="D105" i="2"/>
  <c r="D104" i="2"/>
  <c r="D103" i="2"/>
  <c r="D102" i="2"/>
  <c r="D101" i="2"/>
  <c r="D100" i="2"/>
  <c r="D99" i="2"/>
  <c r="D98" i="2"/>
  <c r="D97" i="2"/>
  <c r="D96" i="2"/>
  <c r="D95" i="2"/>
  <c r="D94" i="2"/>
  <c r="D93" i="2"/>
  <c r="D92" i="2"/>
  <c r="D91" i="2"/>
  <c r="D90" i="2"/>
  <c r="D89" i="2"/>
  <c r="D88" i="2"/>
  <c r="D87" i="2"/>
  <c r="D86" i="2"/>
  <c r="D85" i="2"/>
  <c r="D84" i="2"/>
  <c r="D83" i="2"/>
  <c r="D82" i="2"/>
  <c r="D81" i="2"/>
  <c r="D80" i="2"/>
  <c r="D79" i="2"/>
  <c r="D78" i="2"/>
  <c r="D77" i="2"/>
  <c r="D76" i="2"/>
  <c r="D75" i="2"/>
  <c r="D74" i="2"/>
  <c r="D73" i="2"/>
  <c r="D72" i="2"/>
  <c r="D71" i="2"/>
  <c r="D70" i="2"/>
  <c r="D69" i="2"/>
  <c r="D68" i="2"/>
  <c r="D67" i="2"/>
  <c r="D66" i="2"/>
  <c r="D65" i="2"/>
  <c r="D64" i="2"/>
  <c r="D63" i="2"/>
  <c r="D62" i="2"/>
  <c r="D61" i="2"/>
  <c r="D60" i="2"/>
  <c r="D59" i="2"/>
  <c r="D58" i="2"/>
  <c r="D57" i="2"/>
  <c r="D56" i="2"/>
  <c r="D55" i="2"/>
  <c r="D54" i="2"/>
  <c r="D53" i="2"/>
  <c r="D52" i="2"/>
  <c r="D51" i="2"/>
  <c r="D50" i="2"/>
  <c r="D49" i="2"/>
  <c r="D48" i="2"/>
  <c r="D47" i="2"/>
  <c r="D46" i="2"/>
  <c r="D45" i="2"/>
  <c r="D44" i="2"/>
  <c r="D43" i="2"/>
  <c r="D42" i="2"/>
  <c r="D41" i="2"/>
  <c r="D40" i="2"/>
  <c r="D39" i="2"/>
  <c r="D38" i="2"/>
  <c r="D37" i="2"/>
  <c r="D36" i="2"/>
  <c r="D35" i="2"/>
  <c r="D34" i="2"/>
  <c r="D33" i="2"/>
  <c r="D32" i="2"/>
  <c r="D31" i="2"/>
  <c r="D30" i="2"/>
  <c r="D29" i="2"/>
  <c r="D28" i="2"/>
  <c r="D27" i="2"/>
  <c r="D26" i="2"/>
  <c r="D25" i="2"/>
  <c r="D24" i="2"/>
  <c r="D23" i="2"/>
  <c r="D22" i="2"/>
  <c r="D21" i="2"/>
  <c r="D20" i="2"/>
  <c r="D19" i="2"/>
  <c r="D18" i="2"/>
  <c r="D17" i="2"/>
  <c r="D16" i="2"/>
  <c r="D15" i="2"/>
  <c r="D14" i="2"/>
  <c r="D13" i="2"/>
  <c r="D12" i="2"/>
  <c r="D11" i="2"/>
  <c r="D10" i="2"/>
  <c r="D9" i="2"/>
  <c r="D8" i="2"/>
  <c r="D7" i="2"/>
  <c r="D6" i="2"/>
  <c r="D5" i="2"/>
  <c r="D4" i="2"/>
  <c r="D3" i="2"/>
  <c r="D2" i="2"/>
  <c r="G550" i="2"/>
  <c r="G549" i="2"/>
  <c r="G548" i="2"/>
  <c r="G547" i="2"/>
  <c r="G546" i="2"/>
  <c r="G545" i="2"/>
  <c r="G544" i="2"/>
  <c r="G543" i="2"/>
  <c r="G542" i="2"/>
  <c r="G541" i="2"/>
  <c r="G540" i="2"/>
  <c r="G539" i="2"/>
  <c r="G538" i="2"/>
  <c r="G537" i="2"/>
  <c r="G536" i="2"/>
  <c r="G535" i="2"/>
  <c r="G534" i="2"/>
  <c r="G533" i="2"/>
  <c r="G532" i="2"/>
  <c r="G531" i="2"/>
  <c r="G530" i="2"/>
  <c r="G529" i="2"/>
  <c r="G528" i="2"/>
  <c r="G527" i="2"/>
  <c r="G526" i="2"/>
  <c r="G525" i="2"/>
  <c r="G524" i="2"/>
  <c r="G523" i="2"/>
  <c r="G522" i="2"/>
  <c r="G521" i="2"/>
  <c r="G520" i="2"/>
  <c r="G519" i="2"/>
  <c r="G518" i="2"/>
  <c r="G517" i="2"/>
  <c r="G516" i="2"/>
  <c r="G515" i="2"/>
  <c r="G514" i="2"/>
  <c r="G513" i="2"/>
  <c r="G512" i="2"/>
  <c r="G511" i="2"/>
  <c r="G510" i="2"/>
  <c r="G509" i="2"/>
  <c r="G508" i="2"/>
  <c r="G507" i="2"/>
  <c r="G506" i="2"/>
  <c r="G505" i="2"/>
  <c r="G504" i="2"/>
  <c r="G503" i="2"/>
  <c r="G502" i="2"/>
  <c r="G501" i="2"/>
  <c r="G500" i="2"/>
  <c r="G499" i="2"/>
  <c r="G498" i="2"/>
  <c r="G497" i="2"/>
  <c r="G496" i="2"/>
  <c r="G495" i="2"/>
  <c r="G494" i="2"/>
  <c r="G493" i="2"/>
  <c r="G492" i="2"/>
  <c r="G491" i="2"/>
  <c r="G490" i="2"/>
  <c r="G489" i="2"/>
  <c r="G488" i="2"/>
  <c r="G487" i="2"/>
  <c r="G486" i="2"/>
  <c r="G485" i="2"/>
  <c r="G484" i="2"/>
  <c r="G483" i="2"/>
  <c r="G482" i="2"/>
  <c r="G481" i="2"/>
  <c r="G480" i="2"/>
  <c r="G479" i="2"/>
  <c r="G478" i="2"/>
  <c r="G477" i="2"/>
  <c r="G476" i="2"/>
  <c r="G475" i="2"/>
  <c r="G474" i="2"/>
  <c r="G473" i="2"/>
  <c r="G472" i="2"/>
  <c r="G471" i="2"/>
  <c r="D566" i="2"/>
  <c r="G445" i="2"/>
  <c r="G446" i="2"/>
  <c r="G447" i="2"/>
  <c r="G448" i="2"/>
  <c r="G449" i="2"/>
  <c r="G450" i="2"/>
  <c r="G451" i="2"/>
  <c r="G452" i="2"/>
  <c r="G453" i="2"/>
  <c r="G454" i="2"/>
  <c r="G455" i="2"/>
  <c r="G456" i="2"/>
  <c r="G457" i="2"/>
  <c r="G458" i="2"/>
  <c r="G459" i="2"/>
  <c r="G460" i="2"/>
  <c r="G461" i="2"/>
  <c r="G462" i="2"/>
  <c r="G463" i="2"/>
  <c r="G464" i="2"/>
  <c r="G465" i="2"/>
  <c r="G466" i="2"/>
  <c r="G467" i="2"/>
  <c r="G468" i="2"/>
  <c r="G469" i="2"/>
  <c r="G470" i="2"/>
  <c r="L23" i="3"/>
  <c r="K23" i="3"/>
  <c r="L22" i="3"/>
  <c r="K22" i="3"/>
  <c r="L21" i="3"/>
  <c r="K21" i="3"/>
  <c r="L20" i="3"/>
  <c r="K20" i="3"/>
  <c r="L19" i="3"/>
  <c r="K19" i="3"/>
  <c r="L18" i="3"/>
  <c r="K18" i="3"/>
  <c r="L17" i="3"/>
  <c r="K17" i="3"/>
  <c r="L16" i="3"/>
  <c r="K16" i="3"/>
  <c r="L15" i="3"/>
  <c r="K15" i="3"/>
  <c r="L14" i="3"/>
  <c r="K14" i="3"/>
  <c r="H23" i="3"/>
  <c r="H22" i="3"/>
  <c r="H21" i="3"/>
  <c r="H20" i="3"/>
  <c r="H19" i="3"/>
  <c r="H18" i="3"/>
  <c r="H17" i="3"/>
  <c r="H16" i="3"/>
  <c r="H15" i="3"/>
  <c r="H14" i="3"/>
  <c r="L33" i="3"/>
  <c r="K33" i="3"/>
  <c r="L32" i="3"/>
  <c r="K32" i="3"/>
  <c r="L31" i="3"/>
  <c r="K31" i="3"/>
  <c r="L30" i="3"/>
  <c r="K30" i="3"/>
  <c r="L29" i="3"/>
  <c r="K29" i="3"/>
  <c r="L28" i="3"/>
  <c r="K28" i="3"/>
  <c r="L27" i="3"/>
  <c r="K27" i="3"/>
  <c r="L26" i="3"/>
  <c r="K26" i="3"/>
  <c r="L25" i="3"/>
  <c r="K25" i="3"/>
  <c r="L24" i="3"/>
  <c r="K24" i="3"/>
  <c r="H33" i="3"/>
  <c r="H32" i="3"/>
  <c r="H31" i="3"/>
  <c r="H30" i="3"/>
  <c r="H29" i="3"/>
  <c r="H28" i="3"/>
  <c r="H27" i="3"/>
  <c r="H26" i="3"/>
  <c r="H25" i="3"/>
  <c r="H24" i="3"/>
  <c r="K34" i="3"/>
  <c r="L34" i="3"/>
  <c r="K35" i="3"/>
  <c r="L35" i="3"/>
  <c r="K36" i="3"/>
  <c r="L36" i="3"/>
  <c r="K37" i="3"/>
  <c r="L37" i="3"/>
  <c r="K38" i="3"/>
  <c r="L38" i="3"/>
  <c r="K39" i="3"/>
  <c r="L39" i="3"/>
  <c r="K40" i="3"/>
  <c r="L40" i="3"/>
  <c r="K41" i="3"/>
  <c r="L41" i="3"/>
  <c r="K42" i="3"/>
  <c r="L42" i="3"/>
  <c r="K43" i="3"/>
  <c r="L43" i="3"/>
  <c r="H35" i="3"/>
  <c r="H36" i="3"/>
  <c r="H37" i="3"/>
  <c r="H38" i="3"/>
  <c r="H39" i="3"/>
  <c r="H40" i="3"/>
  <c r="H41" i="3"/>
  <c r="H42" i="3"/>
  <c r="H43" i="3"/>
  <c r="H34" i="3"/>
  <c r="L101" i="3"/>
  <c r="K101" i="3"/>
  <c r="L100" i="3"/>
  <c r="K100" i="3"/>
  <c r="L99" i="3"/>
  <c r="K99" i="3"/>
  <c r="L98" i="3"/>
  <c r="K98" i="3"/>
  <c r="L97" i="3"/>
  <c r="K97" i="3"/>
  <c r="L96" i="3"/>
  <c r="K96" i="3"/>
  <c r="L95" i="3"/>
  <c r="K95" i="3"/>
  <c r="L94" i="3"/>
  <c r="K94" i="3"/>
  <c r="L93" i="3"/>
  <c r="K93" i="3"/>
  <c r="H93" i="3"/>
  <c r="L92" i="3"/>
  <c r="K92" i="3"/>
  <c r="H92" i="3"/>
  <c r="L91" i="3"/>
  <c r="K91" i="3"/>
  <c r="H91" i="3"/>
  <c r="L90" i="3"/>
  <c r="K90" i="3"/>
  <c r="H90" i="3"/>
  <c r="L89" i="3"/>
  <c r="K89" i="3"/>
  <c r="H89" i="3"/>
  <c r="L88" i="3"/>
  <c r="K88" i="3"/>
  <c r="H88" i="3"/>
  <c r="L87" i="3"/>
  <c r="K87" i="3"/>
  <c r="H87" i="3"/>
  <c r="L86" i="3"/>
  <c r="K86" i="3"/>
  <c r="H86" i="3"/>
  <c r="L85" i="3"/>
  <c r="K85" i="3"/>
  <c r="H85" i="3"/>
  <c r="L84" i="3"/>
  <c r="K84" i="3"/>
  <c r="H84" i="3"/>
  <c r="L83" i="3"/>
  <c r="K83" i="3"/>
  <c r="H83" i="3"/>
  <c r="L82" i="3"/>
  <c r="K82" i="3"/>
  <c r="H82" i="3"/>
  <c r="L81" i="3"/>
  <c r="K81" i="3"/>
  <c r="H81" i="3"/>
  <c r="L80" i="3"/>
  <c r="K80" i="3"/>
  <c r="H80" i="3"/>
  <c r="L79" i="3"/>
  <c r="K79" i="3"/>
  <c r="H79" i="3"/>
  <c r="L78" i="3"/>
  <c r="K78" i="3"/>
  <c r="H78" i="3"/>
  <c r="L77" i="3"/>
  <c r="K77" i="3"/>
  <c r="H77" i="3"/>
  <c r="L76" i="3"/>
  <c r="K76" i="3"/>
  <c r="H76" i="3"/>
  <c r="L75" i="3"/>
  <c r="K75" i="3"/>
  <c r="H75" i="3"/>
  <c r="L74" i="3"/>
  <c r="K74" i="3"/>
  <c r="H74" i="3"/>
  <c r="L73" i="3"/>
  <c r="K73" i="3"/>
  <c r="L72" i="3"/>
  <c r="K72" i="3"/>
  <c r="L71" i="3"/>
  <c r="K71" i="3"/>
  <c r="L70" i="3"/>
  <c r="K70" i="3"/>
  <c r="L69" i="3"/>
  <c r="K69" i="3"/>
  <c r="L68" i="3"/>
  <c r="K68" i="3"/>
  <c r="L67" i="3"/>
  <c r="K67" i="3"/>
  <c r="L66" i="3"/>
  <c r="K66" i="3"/>
  <c r="L65" i="3"/>
  <c r="K65" i="3"/>
  <c r="L64" i="3"/>
  <c r="K64" i="3"/>
  <c r="L63" i="3"/>
  <c r="K63" i="3"/>
  <c r="H63" i="3"/>
  <c r="L62" i="3"/>
  <c r="K62" i="3"/>
  <c r="H62" i="3"/>
  <c r="L61" i="3"/>
  <c r="K61" i="3"/>
  <c r="H61" i="3"/>
  <c r="L60" i="3"/>
  <c r="K60" i="3"/>
  <c r="H60" i="3"/>
  <c r="L59" i="3"/>
  <c r="K59" i="3"/>
  <c r="H59" i="3"/>
  <c r="L58" i="3"/>
  <c r="K58" i="3"/>
  <c r="H58" i="3"/>
  <c r="L57" i="3"/>
  <c r="K57" i="3"/>
  <c r="H57" i="3"/>
  <c r="L56" i="3"/>
  <c r="K56" i="3"/>
  <c r="H56" i="3"/>
  <c r="L55" i="3"/>
  <c r="K55" i="3"/>
  <c r="H55" i="3"/>
  <c r="L54" i="3"/>
  <c r="K54" i="3"/>
  <c r="H54" i="3"/>
  <c r="L53" i="3"/>
  <c r="K53" i="3"/>
  <c r="H53" i="3"/>
  <c r="L52" i="3"/>
  <c r="K52" i="3"/>
  <c r="H52" i="3"/>
  <c r="L51" i="3"/>
  <c r="K51" i="3"/>
  <c r="H51" i="3"/>
  <c r="L50" i="3"/>
  <c r="K50" i="3"/>
  <c r="H50" i="3"/>
  <c r="L49" i="3"/>
  <c r="K49" i="3"/>
  <c r="H49" i="3"/>
  <c r="L48" i="3"/>
  <c r="K48" i="3"/>
  <c r="H48" i="3"/>
  <c r="L47" i="3"/>
  <c r="K47" i="3"/>
  <c r="H47" i="3"/>
  <c r="L46" i="3"/>
  <c r="K46" i="3"/>
  <c r="H46" i="3"/>
  <c r="L45" i="3"/>
  <c r="K45" i="3"/>
  <c r="H45" i="3"/>
  <c r="L44" i="3"/>
  <c r="K44" i="3"/>
  <c r="H44" i="3"/>
</calcChain>
</file>

<file path=xl/sharedStrings.xml><?xml version="1.0" encoding="utf-8"?>
<sst xmlns="http://schemas.openxmlformats.org/spreadsheetml/2006/main" count="4094" uniqueCount="563">
  <si>
    <t>Owner</t>
  </si>
  <si>
    <t>Points</t>
  </si>
  <si>
    <t>Rich</t>
  </si>
  <si>
    <t>Wilko10</t>
  </si>
  <si>
    <t>Brace</t>
  </si>
  <si>
    <t>Fiona</t>
  </si>
  <si>
    <t>2</t>
  </si>
  <si>
    <t>Rob T</t>
  </si>
  <si>
    <t>1</t>
  </si>
  <si>
    <t>Matt</t>
  </si>
  <si>
    <t>Season</t>
  </si>
  <si>
    <t>Player</t>
  </si>
  <si>
    <t>Week</t>
  </si>
  <si>
    <t>Home Team</t>
  </si>
  <si>
    <t>Away Team</t>
  </si>
  <si>
    <t>Team</t>
  </si>
  <si>
    <t>2019</t>
  </si>
  <si>
    <t>Fash and Chaps</t>
  </si>
  <si>
    <t>Free Charlie Chung</t>
  </si>
  <si>
    <t>2020</t>
  </si>
  <si>
    <t>7th Place Playoff</t>
  </si>
  <si>
    <t>Team chig94</t>
  </si>
  <si>
    <t>L</t>
  </si>
  <si>
    <t>Brady Gaga</t>
  </si>
  <si>
    <t>Nathan</t>
  </si>
  <si>
    <t>W</t>
  </si>
  <si>
    <t>2021</t>
  </si>
  <si>
    <t>5</t>
  </si>
  <si>
    <t>Team Wilko10</t>
  </si>
  <si>
    <t>Team JoeWilko</t>
  </si>
  <si>
    <t>2017</t>
  </si>
  <si>
    <t>3rd Place</t>
  </si>
  <si>
    <t>Show me the TDs</t>
  </si>
  <si>
    <t>Make Fantasy Great Again</t>
  </si>
  <si>
    <t>99.32</t>
  </si>
  <si>
    <t>Grand Final</t>
  </si>
  <si>
    <t>Braces ACES</t>
  </si>
  <si>
    <t>Philly Special</t>
  </si>
  <si>
    <t>Wentz upon a Time</t>
  </si>
  <si>
    <t>11</t>
  </si>
  <si>
    <t>Forza 49ers</t>
  </si>
  <si>
    <t>4</t>
  </si>
  <si>
    <t>BRACES ACES</t>
  </si>
  <si>
    <t>Jurassic Parkey</t>
  </si>
  <si>
    <t>81.66</t>
  </si>
  <si>
    <t>My Ball Zach Ertz</t>
  </si>
  <si>
    <t>6</t>
  </si>
  <si>
    <t>Riley KKKooper</t>
  </si>
  <si>
    <t>Team Tails46</t>
  </si>
  <si>
    <t>Consolation</t>
  </si>
  <si>
    <t>Team FiKerry</t>
  </si>
  <si>
    <t>2018</t>
  </si>
  <si>
    <t>Hicks Six</t>
  </si>
  <si>
    <t>short back and security</t>
  </si>
  <si>
    <t>7</t>
  </si>
  <si>
    <t>8</t>
  </si>
  <si>
    <t>Wrestling is still real to me</t>
  </si>
  <si>
    <t>3</t>
  </si>
  <si>
    <t>Yippee Ki Yay Justin Tucker</t>
  </si>
  <si>
    <t>82.42</t>
  </si>
  <si>
    <t>105.98</t>
  </si>
  <si>
    <t>112.02</t>
  </si>
  <si>
    <t>12</t>
  </si>
  <si>
    <t>2016</t>
  </si>
  <si>
    <t>84.62</t>
  </si>
  <si>
    <t xml:space="preserve">Nuuuk De Jong </t>
  </si>
  <si>
    <t>178.74</t>
  </si>
  <si>
    <t>Homo4Romo</t>
  </si>
  <si>
    <t>Haha Clip-on Dicks</t>
  </si>
  <si>
    <t>82.64</t>
  </si>
  <si>
    <t>13</t>
  </si>
  <si>
    <t>Team RichAndrew</t>
  </si>
  <si>
    <t>Toilet Bowl</t>
  </si>
  <si>
    <t>NomadRaiders</t>
  </si>
  <si>
    <t>94.16</t>
  </si>
  <si>
    <t>15</t>
  </si>
  <si>
    <t>80.62</t>
  </si>
  <si>
    <t>9</t>
  </si>
  <si>
    <t>Trash Panda</t>
  </si>
  <si>
    <t>84.38</t>
  </si>
  <si>
    <t>16</t>
  </si>
  <si>
    <t>5th Place Playoff</t>
  </si>
  <si>
    <t>97.94</t>
  </si>
  <si>
    <t>Team Nath4</t>
  </si>
  <si>
    <t>10</t>
  </si>
  <si>
    <t>14</t>
  </si>
  <si>
    <t>Last Year I Was Robbed</t>
  </si>
  <si>
    <t>80.74</t>
  </si>
  <si>
    <t>70.84</t>
  </si>
  <si>
    <t>Semi Final</t>
  </si>
  <si>
    <t>88.50</t>
  </si>
  <si>
    <t>70.48</t>
  </si>
  <si>
    <t>92.74</t>
  </si>
  <si>
    <t>Team WIlko10</t>
  </si>
  <si>
    <t>87.56</t>
  </si>
  <si>
    <t>106.12</t>
  </si>
  <si>
    <t>76.06</t>
  </si>
  <si>
    <t>128.38</t>
  </si>
  <si>
    <t>141.78</t>
  </si>
  <si>
    <t>80.54</t>
  </si>
  <si>
    <t>116.30</t>
  </si>
  <si>
    <t>130.90</t>
  </si>
  <si>
    <t>66.04</t>
  </si>
  <si>
    <t>50.32</t>
  </si>
  <si>
    <t>81.82</t>
  </si>
  <si>
    <t>105.38</t>
  </si>
  <si>
    <t>127.36</t>
  </si>
  <si>
    <t>67.94</t>
  </si>
  <si>
    <t>72.56</t>
  </si>
  <si>
    <t>83.84</t>
  </si>
  <si>
    <t>101.02</t>
  </si>
  <si>
    <t>141.58</t>
  </si>
  <si>
    <t>84.86</t>
  </si>
  <si>
    <t>102.26</t>
  </si>
  <si>
    <t>105.32</t>
  </si>
  <si>
    <t>81.46</t>
  </si>
  <si>
    <t>91.44</t>
  </si>
  <si>
    <t>60.52</t>
  </si>
  <si>
    <t>98.34</t>
  </si>
  <si>
    <t>57.68</t>
  </si>
  <si>
    <t>63.22</t>
  </si>
  <si>
    <t>94.36</t>
  </si>
  <si>
    <t>86.22</t>
  </si>
  <si>
    <t>89.42</t>
  </si>
  <si>
    <t>78.02</t>
  </si>
  <si>
    <t>123.50</t>
  </si>
  <si>
    <t>74.62</t>
  </si>
  <si>
    <t>67.14</t>
  </si>
  <si>
    <t>51.72</t>
  </si>
  <si>
    <t>54.24</t>
  </si>
  <si>
    <t>Nomad Raiders</t>
  </si>
  <si>
    <t>89.06</t>
  </si>
  <si>
    <t>91.16</t>
  </si>
  <si>
    <t>77.52</t>
  </si>
  <si>
    <t>61.22</t>
  </si>
  <si>
    <t>P</t>
  </si>
  <si>
    <t>77.82</t>
  </si>
  <si>
    <t>54.32</t>
  </si>
  <si>
    <t>86.32</t>
  </si>
  <si>
    <t>119.08</t>
  </si>
  <si>
    <t>75.64</t>
  </si>
  <si>
    <t>81.70</t>
  </si>
  <si>
    <t>51.42</t>
  </si>
  <si>
    <t>114.30</t>
  </si>
  <si>
    <t>131.04</t>
  </si>
  <si>
    <t>114.00</t>
  </si>
  <si>
    <t>79.26</t>
  </si>
  <si>
    <t>99.44</t>
  </si>
  <si>
    <t>41.28</t>
  </si>
  <si>
    <t>62.10</t>
  </si>
  <si>
    <t>122.02</t>
  </si>
  <si>
    <t>82.38</t>
  </si>
  <si>
    <t>122.28</t>
  </si>
  <si>
    <t>BraceS ACES</t>
  </si>
  <si>
    <t>85.64</t>
  </si>
  <si>
    <t>66.74</t>
  </si>
  <si>
    <t>75.44</t>
  </si>
  <si>
    <t>56.84</t>
  </si>
  <si>
    <t>110.46</t>
  </si>
  <si>
    <t>74.00</t>
  </si>
  <si>
    <t>69.46</t>
  </si>
  <si>
    <t>74.52</t>
  </si>
  <si>
    <t>124.18</t>
  </si>
  <si>
    <t>69.80</t>
  </si>
  <si>
    <t>127.24</t>
  </si>
  <si>
    <t>104.56</t>
  </si>
  <si>
    <t>67.32</t>
  </si>
  <si>
    <t>118.30</t>
  </si>
  <si>
    <t>112.38</t>
  </si>
  <si>
    <t>76.96</t>
  </si>
  <si>
    <t>120.02</t>
  </si>
  <si>
    <t>109.36</t>
  </si>
  <si>
    <t>69.06</t>
  </si>
  <si>
    <t>87.18</t>
  </si>
  <si>
    <t>114.64</t>
  </si>
  <si>
    <t>81.58</t>
  </si>
  <si>
    <t>110.60</t>
  </si>
  <si>
    <t>62.78</t>
  </si>
  <si>
    <t>60.56</t>
  </si>
  <si>
    <t>60.66</t>
  </si>
  <si>
    <t>52.22</t>
  </si>
  <si>
    <t>57.22</t>
  </si>
  <si>
    <t>69.50</t>
  </si>
  <si>
    <t>52.86</t>
  </si>
  <si>
    <t>51.16</t>
  </si>
  <si>
    <t>123.00</t>
  </si>
  <si>
    <t>91.54</t>
  </si>
  <si>
    <t>75.18</t>
  </si>
  <si>
    <t>66.40</t>
  </si>
  <si>
    <t>80.40</t>
  </si>
  <si>
    <t>89.48</t>
  </si>
  <si>
    <t>114.34</t>
  </si>
  <si>
    <t>107.60</t>
  </si>
  <si>
    <t>70.76</t>
  </si>
  <si>
    <t>89.34</t>
  </si>
  <si>
    <t>84.82</t>
  </si>
  <si>
    <t>99.24</t>
  </si>
  <si>
    <t>119.64</t>
  </si>
  <si>
    <t>74.60</t>
  </si>
  <si>
    <t>60.78</t>
  </si>
  <si>
    <t>88.80</t>
  </si>
  <si>
    <t>94.22</t>
  </si>
  <si>
    <t>110.70</t>
  </si>
  <si>
    <t>65.54</t>
  </si>
  <si>
    <t>75.98</t>
  </si>
  <si>
    <t>101.28</t>
  </si>
  <si>
    <t>115.36</t>
  </si>
  <si>
    <t>111.96</t>
  </si>
  <si>
    <t>87.82</t>
  </si>
  <si>
    <t>100.12</t>
  </si>
  <si>
    <t>96.72</t>
  </si>
  <si>
    <t>87.40</t>
  </si>
  <si>
    <t>103.78</t>
  </si>
  <si>
    <t>93.26</t>
  </si>
  <si>
    <t>71.12</t>
  </si>
  <si>
    <t>85.76</t>
  </si>
  <si>
    <t>71.48</t>
  </si>
  <si>
    <t>103.84</t>
  </si>
  <si>
    <t>102.98</t>
  </si>
  <si>
    <t>73.82</t>
  </si>
  <si>
    <t>105.00</t>
  </si>
  <si>
    <t>93.86</t>
  </si>
  <si>
    <t>92.16</t>
  </si>
  <si>
    <t>85.70</t>
  </si>
  <si>
    <t>97.06</t>
  </si>
  <si>
    <t>87.26</t>
  </si>
  <si>
    <t>71.50</t>
  </si>
  <si>
    <t>86.66</t>
  </si>
  <si>
    <t>Rank</t>
  </si>
  <si>
    <t>T</t>
  </si>
  <si>
    <t>Pct</t>
  </si>
  <si>
    <t>For</t>
  </si>
  <si>
    <t>Against</t>
  </si>
  <si>
    <t>PPG F</t>
  </si>
  <si>
    <t>PPG A</t>
  </si>
  <si>
    <t>BracesAces</t>
  </si>
  <si>
    <t>Nath4</t>
  </si>
  <si>
    <t>Riley KKKooperRiley KKKooper</t>
  </si>
  <si>
    <t>Haha Clip-on-Dicks</t>
  </si>
  <si>
    <t>FiKerry</t>
  </si>
  <si>
    <t>chig94</t>
  </si>
  <si>
    <t>Chig94</t>
  </si>
  <si>
    <t>Tails46</t>
  </si>
  <si>
    <t>Forza49ers</t>
  </si>
  <si>
    <t>rcc193</t>
  </si>
  <si>
    <t>RichAndrew</t>
  </si>
  <si>
    <t>Christian Mccaffrey</t>
  </si>
  <si>
    <t>RB</t>
  </si>
  <si>
    <t>POS</t>
  </si>
  <si>
    <t>QB</t>
  </si>
  <si>
    <t>WR</t>
  </si>
  <si>
    <t>TE</t>
  </si>
  <si>
    <t>Patrick Mahomes II</t>
  </si>
  <si>
    <t>Saquon Barkley</t>
  </si>
  <si>
    <t>Cam Newton</t>
  </si>
  <si>
    <t>Derick Henry</t>
  </si>
  <si>
    <t>David Johnson</t>
  </si>
  <si>
    <t>Matt Ryan</t>
  </si>
  <si>
    <t>Alvin Kamara</t>
  </si>
  <si>
    <t>Todd Gurley</t>
  </si>
  <si>
    <t>Dalvin Cook</t>
  </si>
  <si>
    <t>Michael Thomas</t>
  </si>
  <si>
    <t>Ezikiel Elliot</t>
  </si>
  <si>
    <t>Le'veon Bell</t>
  </si>
  <si>
    <t>Tyrek Hill</t>
  </si>
  <si>
    <t>Antonio Brown</t>
  </si>
  <si>
    <t>Tom Brady</t>
  </si>
  <si>
    <t>Odell Beckham</t>
  </si>
  <si>
    <t>Ezekiel Elliott</t>
  </si>
  <si>
    <t>Nick Chubb</t>
  </si>
  <si>
    <t>Keenan Allen</t>
  </si>
  <si>
    <t>Julio Jones</t>
  </si>
  <si>
    <t>DeAndre Hopkins</t>
  </si>
  <si>
    <t>Derrick Henry</t>
  </si>
  <si>
    <t>Miles Sanders</t>
  </si>
  <si>
    <t>Lamar Jackson</t>
  </si>
  <si>
    <t>Tyreek Hill</t>
  </si>
  <si>
    <t>Devonta Freeman</t>
  </si>
  <si>
    <t>Adrian Peterson</t>
  </si>
  <si>
    <t>Rob Gronkowski</t>
  </si>
  <si>
    <t>Eddie Lacy</t>
  </si>
  <si>
    <t>Jordy Nelson</t>
  </si>
  <si>
    <t>Kareem Hunt</t>
  </si>
  <si>
    <t>AJ Green</t>
  </si>
  <si>
    <t>Opp</t>
  </si>
  <si>
    <t>Status</t>
  </si>
  <si>
    <t>Stats</t>
  </si>
  <si>
    <t>Starter</t>
  </si>
  <si>
    <t>Opponent</t>
  </si>
  <si>
    <t>Week 1</t>
  </si>
  <si>
    <t>C. NewtonQB - CAR</t>
  </si>
  <si>
    <t>@DEN</t>
  </si>
  <si>
    <t>Loss, 20-21</t>
  </si>
  <si>
    <t>194 Pass Yds,1 Pass TD,1 Int,54 Rush Yds,...</t>
  </si>
  <si>
    <t>L. McCoyRB - BUF</t>
  </si>
  <si>
    <t>@BAL</t>
  </si>
  <si>
    <t>Loss, 7-13</t>
  </si>
  <si>
    <t>58 Rush Yds,1 Rush TD,12 Rec Yds</t>
  </si>
  <si>
    <t>Week 2</t>
  </si>
  <si>
    <t>M. JonesRB - WAS</t>
  </si>
  <si>
    <t>PIT</t>
  </si>
  <si>
    <t>Loss, 16-38</t>
  </si>
  <si>
    <t>24 Rush Yds,9 Rec Yds</t>
  </si>
  <si>
    <t>Week 3</t>
  </si>
  <si>
    <t>J. NelsonWR - GB</t>
  </si>
  <si>
    <t>@JAX</t>
  </si>
  <si>
    <t>Win, 27-23</t>
  </si>
  <si>
    <t>32 Rec Yds,1 Rec TD</t>
  </si>
  <si>
    <t>Week 4</t>
  </si>
  <si>
    <t>A. CooperWR - LV</t>
  </si>
  <si>
    <t>@NO</t>
  </si>
  <si>
    <t>Win, 35-34</t>
  </si>
  <si>
    <t>137 Rec Yds,1 2PT</t>
  </si>
  <si>
    <t>Week 5</t>
  </si>
  <si>
    <t>J. ReedTE - WAS</t>
  </si>
  <si>
    <t>64 Rec Yds</t>
  </si>
  <si>
    <t>Week 6</t>
  </si>
  <si>
    <t>R/W/T</t>
  </si>
  <si>
    <t>D. BaldwinWR - SEA</t>
  </si>
  <si>
    <t>MIA</t>
  </si>
  <si>
    <t>Win, 12-10</t>
  </si>
  <si>
    <t>92 Rec Yds,1 Rec TD</t>
  </si>
  <si>
    <t>Week 7</t>
  </si>
  <si>
    <t>K</t>
  </si>
  <si>
    <t>G. GanoK - CAR</t>
  </si>
  <si>
    <t>2 PAT,1 30-39,1 40-49,1 Miss 50+</t>
  </si>
  <si>
    <t>Week 8</t>
  </si>
  <si>
    <t>DEF</t>
  </si>
  <si>
    <t>SeahawksDEF</t>
  </si>
  <si>
    <t>10 Pts,5 Sck</t>
  </si>
  <si>
    <t>Week 9</t>
  </si>
  <si>
    <t>BN</t>
  </si>
  <si>
    <t>J. GrahamTE - SEA</t>
  </si>
  <si>
    <t>11 Rec Yds</t>
  </si>
  <si>
    <t>Bench</t>
  </si>
  <si>
    <t>A. DaltonQB - CIN</t>
  </si>
  <si>
    <t>@NYJ</t>
  </si>
  <si>
    <t>Win, 23-22</t>
  </si>
  <si>
    <t>366 Pass Yds,1 Pass TD,1 Int,7 Rush Yds</t>
  </si>
  <si>
    <t>L. FitzgeraldWR - ARI</t>
  </si>
  <si>
    <t>NE</t>
  </si>
  <si>
    <t>Loss, 21-23</t>
  </si>
  <si>
    <t>81 Rec Yds,2 Rec TD</t>
  </si>
  <si>
    <t>T. GinnWR - CAR</t>
  </si>
  <si>
    <t>5 Rec Yds,20 Rush Yds</t>
  </si>
  <si>
    <t>L. MurrayRB - LV</t>
  </si>
  <si>
    <t>59 Rush Yds,1 Rush TD,13 Rec Yds</t>
  </si>
  <si>
    <t>D. HenryRB - TEN</t>
  </si>
  <si>
    <t>MIN</t>
  </si>
  <si>
    <t>Loss, 16-25</t>
  </si>
  <si>
    <t>3 Rush Yds,41 Rec Yds</t>
  </si>
  <si>
    <t>R. WilsonQB - SEA</t>
  </si>
  <si>
    <t>258 Pass Yds,1 Pass TD,1 Int,16 Rush Yds,...</t>
  </si>
  <si>
    <t>D. MurrayRB - TEN</t>
  </si>
  <si>
    <t>42 Rush Yds,1 Fum,35 Rec Yds,2 Rec TD</t>
  </si>
  <si>
    <t>C. AndersonRB - DEN</t>
  </si>
  <si>
    <t>CAR</t>
  </si>
  <si>
    <t>Win, 21-20</t>
  </si>
  <si>
    <t>92 Rush Yds,1 Rush TD,47 Rec Yds,1 Rec TD</t>
  </si>
  <si>
    <t>D. BryantWR - DAL</t>
  </si>
  <si>
    <t>NYG</t>
  </si>
  <si>
    <t>Loss, 19-20</t>
  </si>
  <si>
    <t>8 Rec Yds</t>
  </si>
  <si>
    <t>J. LandryWR - MIA</t>
  </si>
  <si>
    <t>@SEA</t>
  </si>
  <si>
    <t>Loss, 10-12</t>
  </si>
  <si>
    <t>59 Rec Yds</t>
  </si>
  <si>
    <t>J. WittenTE - DAL</t>
  </si>
  <si>
    <t>66 Rec Yds</t>
  </si>
  <si>
    <t>M. CrabtreeWR - LV</t>
  </si>
  <si>
    <t>87 Rec Yds,1 2PT</t>
  </si>
  <si>
    <t>S. HauschkaK - SEA</t>
  </si>
  <si>
    <t>1 PAT Miss,2 30-39</t>
  </si>
  <si>
    <t>ChiefsDEF</t>
  </si>
  <si>
    <t>LAC</t>
  </si>
  <si>
    <t>Win, 33-27</t>
  </si>
  <si>
    <t>27 Pts,1 Sck</t>
  </si>
  <si>
    <t>G. BarnidgeTE - CLE</t>
  </si>
  <si>
    <t>@PHI</t>
  </si>
  <si>
    <t>Loss, 10-29</t>
  </si>
  <si>
    <t>J. MaclinWR - KC</t>
  </si>
  <si>
    <t>63 Rec Yds,1 Rec TD,-1 Rush Yds</t>
  </si>
  <si>
    <t>J. JonesWR - ATL</t>
  </si>
  <si>
    <t>TB</t>
  </si>
  <si>
    <t>Loss, 24-31</t>
  </si>
  <si>
    <t>66 Rec Yds,1 Rec TD</t>
  </si>
  <si>
    <t>K. CousinsQB - WAS</t>
  </si>
  <si>
    <t>329 Pass Yds,2 Int,8 Rush Yds</t>
  </si>
  <si>
    <t>D. FreemanRB - ATL</t>
  </si>
  <si>
    <t>20 Rush Yds,20 Rec Yds</t>
  </si>
  <si>
    <t>J. LangfordRB - CHI</t>
  </si>
  <si>
    <t>@HOU</t>
  </si>
  <si>
    <t>Loss, 14-23</t>
  </si>
  <si>
    <t>57 Rush Yds,1 Rush TD,6 Rec Yds</t>
  </si>
  <si>
    <t>D. BreesQB - NO</t>
  </si>
  <si>
    <t>LV</t>
  </si>
  <si>
    <t>Loss, 34-35</t>
  </si>
  <si>
    <t>423 Pass Yds,4 Pass TD,5 Rush Yds,1 Fum</t>
  </si>
  <si>
    <t>D. JohnsonRB - ARI</t>
  </si>
  <si>
    <t>89 Rush Yds,1 Rush TD,43 Rec Yds</t>
  </si>
  <si>
    <t>E. ElliottRB - DAL</t>
  </si>
  <si>
    <t>51 Rush Yds,1 Rush TD,1 Rec Yds</t>
  </si>
  <si>
    <t>A. JefferyWR - CHI</t>
  </si>
  <si>
    <t>105 Rec Yds</t>
  </si>
  <si>
    <t>A. RobinsonWR - JAX</t>
  </si>
  <si>
    <t>GB</t>
  </si>
  <si>
    <t>Loss, 23-27</t>
  </si>
  <si>
    <t>72 Rec Yds</t>
  </si>
  <si>
    <t>V. McDonaldTE - SF</t>
  </si>
  <si>
    <t>LA</t>
  </si>
  <si>
    <t>Win, 28-0</t>
  </si>
  <si>
    <t>14 Rec Yds,1 Rec TD</t>
  </si>
  <si>
    <t>D. WilliamsRB - PIT</t>
  </si>
  <si>
    <t>@WAS</t>
  </si>
  <si>
    <t>Win, 38-16</t>
  </si>
  <si>
    <t>143 Rush Yds,2 Rush TD,28 Rec Yds</t>
  </si>
  <si>
    <t>S. GostkowskiK - NE</t>
  </si>
  <si>
    <t>@ARI</t>
  </si>
  <si>
    <t>Win, 23-21</t>
  </si>
  <si>
    <t>2 PAT,1 30-39,1 40-49,1 50+</t>
  </si>
  <si>
    <t>BengalsDEF</t>
  </si>
  <si>
    <t>22 Pts,1 Sck,1 Int</t>
  </si>
  <si>
    <t>E. ManningQB - NYG</t>
  </si>
  <si>
    <t>@DAL</t>
  </si>
  <si>
    <t>Win, 20-19</t>
  </si>
  <si>
    <t>207 Pass Yds,3 Pass TD,1 Int</t>
  </si>
  <si>
    <t>K. AllenWR - LAC</t>
  </si>
  <si>
    <t>@KC</t>
  </si>
  <si>
    <t>Loss, 27-33</t>
  </si>
  <si>
    <t>63 Rec Yds</t>
  </si>
  <si>
    <t>J. MatthewsWR - PHI</t>
  </si>
  <si>
    <t>CLE</t>
  </si>
  <si>
    <t>Win, 29-10</t>
  </si>
  <si>
    <t>114 Rec Yds,1 Rec TD</t>
  </si>
  <si>
    <t>D. MoncriefWR - IND</t>
  </si>
  <si>
    <t>DET</t>
  </si>
  <si>
    <t>Loss, 35-39</t>
  </si>
  <si>
    <t>64 Rec Yds,1 Rec TD</t>
  </si>
  <si>
    <t>M. GordonRB - LAC</t>
  </si>
  <si>
    <t>57 Rush Yds,2 Rush TD</t>
  </si>
  <si>
    <t>T. RawlsRB - SEA</t>
  </si>
  <si>
    <t>32 Rush Yds,26 Rec Yds</t>
  </si>
  <si>
    <t>T. TaylorQB - BUF</t>
  </si>
  <si>
    <t>111 Pass Yds,11 Rush Yds</t>
  </si>
  <si>
    <t>R. MathewsRB - PHI</t>
  </si>
  <si>
    <t>77 Rush Yds,1 Rush TD</t>
  </si>
  <si>
    <t>A. PetersonRB - MIN</t>
  </si>
  <si>
    <t>@TEN</t>
  </si>
  <si>
    <t>Win, 25-16</t>
  </si>
  <si>
    <t>31 Rush Yds</t>
  </si>
  <si>
    <t>A. GreenWR - CIN</t>
  </si>
  <si>
    <t>180 Rec Yds,1 Rec TD</t>
  </si>
  <si>
    <t>B. CooksWR - NO</t>
  </si>
  <si>
    <t>143 Rec Yds,2 Rec TD,11 Rush Yds</t>
  </si>
  <si>
    <t>Z. ErtzTE - PHI</t>
  </si>
  <si>
    <t>58 Rec Yds</t>
  </si>
  <si>
    <t>M. IngramRB - NO</t>
  </si>
  <si>
    <t>58 Rush Yds,29 Rec Yds</t>
  </si>
  <si>
    <t>A. VinatieriK - IND</t>
  </si>
  <si>
    <t>3 PAT,1 40-49,1 50+</t>
  </si>
  <si>
    <t>CardinalsDEF</t>
  </si>
  <si>
    <t>23 Pts,2 Sck,2 Fum</t>
  </si>
  <si>
    <t>D. ThomasWR - DEN</t>
  </si>
  <si>
    <t>48 Rec Yds</t>
  </si>
  <si>
    <t>G. OlsenTE - CAR</t>
  </si>
  <si>
    <t>73 Rec Yds</t>
  </si>
  <si>
    <t>P. RiversQB - LAC</t>
  </si>
  <si>
    <t>243 Pass Yds,1 Pass TD,9 Rush Yds</t>
  </si>
  <si>
    <t>M. JonesWR - DET</t>
  </si>
  <si>
    <t>@IND</t>
  </si>
  <si>
    <t>Win, 39-35</t>
  </si>
  <si>
    <t>85 Rec Yds</t>
  </si>
  <si>
    <t>K. BenjaminWR - CAR</t>
  </si>
  <si>
    <t>91 Rec Yds,1 Rec TD</t>
  </si>
  <si>
    <t>D. JohnsonRB - CLE</t>
  </si>
  <si>
    <t>22 Rush Yds,28 Rec Yds</t>
  </si>
  <si>
    <t>Jonathan Taylor</t>
  </si>
  <si>
    <t>Cooper Kupp</t>
  </si>
  <si>
    <t>Austin Ekeler</t>
  </si>
  <si>
    <t>Justin Jefferson</t>
  </si>
  <si>
    <t>Ja'Marr Chase</t>
  </si>
  <si>
    <t>Najee Harris</t>
  </si>
  <si>
    <t>58.84</t>
  </si>
  <si>
    <t>Josh Allen</t>
  </si>
  <si>
    <t>Jalen Hurts</t>
  </si>
  <si>
    <t>Dan Austin</t>
  </si>
  <si>
    <t>Lemar Jackson</t>
  </si>
  <si>
    <t>Justin Fields</t>
  </si>
  <si>
    <t>Joe Burrow</t>
  </si>
  <si>
    <t>Justin Herbert</t>
  </si>
  <si>
    <t>Deshawn Watson</t>
  </si>
  <si>
    <t>Justin Jefferson</t>
  </si>
  <si>
    <t>Cee Dee Lamb</t>
  </si>
  <si>
    <t>CJ Stroud</t>
  </si>
  <si>
    <t>Bobb Wentz</t>
  </si>
  <si>
    <t>Home4Romo</t>
  </si>
  <si>
    <t>Kareem Donuts</t>
  </si>
  <si>
    <t>Dicker Kicker</t>
  </si>
  <si>
    <t>Dicker Kickers</t>
  </si>
  <si>
    <t>Team Joewilko</t>
  </si>
  <si>
    <t>DanAustion92</t>
  </si>
  <si>
    <t>Howells Heros</t>
  </si>
  <si>
    <t>insert generic team name</t>
  </si>
  <si>
    <t>2022</t>
  </si>
  <si>
    <t>Bobby Wentz</t>
  </si>
  <si>
    <t>Team Forza49ers</t>
  </si>
  <si>
    <t>Kareem donuts</t>
  </si>
  <si>
    <t>Round 1</t>
  </si>
  <si>
    <t>Rob Taylor</t>
  </si>
  <si>
    <t>Rich Andrew</t>
  </si>
  <si>
    <t>Rob Connet</t>
  </si>
  <si>
    <t>Dave Bracegirdle</t>
  </si>
  <si>
    <t>Fiona Kerry</t>
  </si>
  <si>
    <t>Greg Matthews</t>
  </si>
  <si>
    <t>Team DanAustin92</t>
  </si>
  <si>
    <t>2023</t>
  </si>
  <si>
    <t>Round 2</t>
  </si>
  <si>
    <t>2024</t>
  </si>
  <si>
    <t>Pick</t>
  </si>
  <si>
    <t>Position</t>
  </si>
  <si>
    <t>Luc Chignell</t>
  </si>
  <si>
    <t xml:space="preserve">Charlie Hauton </t>
  </si>
  <si>
    <t>JoeWilkoilko</t>
  </si>
  <si>
    <t>Charlie Hauton</t>
  </si>
  <si>
    <t>Team A</t>
  </si>
  <si>
    <t>Team B</t>
  </si>
  <si>
    <t>Team A Points</t>
  </si>
  <si>
    <t>Team B Points</t>
  </si>
  <si>
    <t>Greg Mitchell</t>
  </si>
  <si>
    <t>Adam Wilko</t>
  </si>
  <si>
    <t>Joe Wilko</t>
  </si>
  <si>
    <t>Nuuuk De Jong</t>
  </si>
  <si>
    <t>Free Brady Again</t>
  </si>
  <si>
    <t>Manziel In Distress</t>
  </si>
  <si>
    <t>Free Charlie Hauton Chung</t>
  </si>
  <si>
    <t>Matt Powels</t>
  </si>
  <si>
    <t>Matt Taylor</t>
  </si>
  <si>
    <t>RGoose90</t>
  </si>
  <si>
    <t>Ja'Marr Chase</t>
  </si>
  <si>
    <t>Bijan Robinson</t>
  </si>
  <si>
    <t>Jahmyr Gibbs</t>
  </si>
  <si>
    <t>Saquon Barkley</t>
  </si>
  <si>
    <t>Lamar Jackson</t>
  </si>
  <si>
    <t>Josh Allen</t>
  </si>
  <si>
    <t>Patrick Mahomes</t>
  </si>
  <si>
    <t>Jalen Hurts</t>
  </si>
  <si>
    <t>CeeDee Lamb</t>
  </si>
  <si>
    <t>Jayden Daniels</t>
  </si>
  <si>
    <t>Home Points</t>
  </si>
  <si>
    <t>Away Points</t>
  </si>
  <si>
    <t>A Owner</t>
  </si>
  <si>
    <t>B Owner</t>
  </si>
  <si>
    <t>Turn down for Watt</t>
  </si>
  <si>
    <t>Raiders of the lost TD</t>
  </si>
  <si>
    <t>MightMorphinBowerRangers</t>
  </si>
  <si>
    <t>Colwick  Geese</t>
  </si>
  <si>
    <t>Hot Chubb Time Machine</t>
  </si>
  <si>
    <t>Lord of the Rings</t>
  </si>
  <si>
    <t>2025</t>
  </si>
  <si>
    <t>A Owner Predicted</t>
  </si>
  <si>
    <t>B Owner Predicted</t>
  </si>
  <si>
    <t>Expected Points</t>
  </si>
  <si>
    <t>Actual - Expected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</si>
</sst>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0.000"/>
    <numFmt numFmtId="165" formatCode="d/m/yyyy"/>
  </numFmts>
  <fonts count="16" x14ac:knownFonts="1">
    <font>
      <sz val="11"/>
      <color theme="1"/>
      <name val="Calibri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0"/>
      <name val="Calibri"/>
      <family val="2"/>
    </font>
    <font>
      <sz val="11"/>
      <color theme="1"/>
      <name val="Calibri"/>
      <family val="2"/>
      <scheme val="minor"/>
    </font>
    <font>
      <sz val="11"/>
      <color theme="1"/>
      <name val="Calibri"/>
      <family val="2"/>
    </font>
    <font>
      <sz val="8"/>
      <name val="Calibri"/>
      <family val="2"/>
      <scheme val="minor"/>
    </font>
    <font>
      <b/>
      <sz val="11"/>
      <color theme="0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theme="1"/>
        <bgColor indexed="64"/>
      </patternFill>
    </fill>
    <fill>
      <patternFill patternType="solid">
        <fgColor theme="8" tint="0.79998168889431442"/>
        <bgColor indexed="65"/>
      </patternFill>
    </fill>
  </fills>
  <borders count="3">
    <border>
      <left/>
      <right/>
      <top/>
      <bottom/>
      <diagonal/>
    </border>
    <border>
      <left style="thin">
        <color theme="0"/>
      </left>
      <right style="thin">
        <color theme="0"/>
      </right>
      <top style="thin">
        <color theme="0"/>
      </top>
      <bottom style="thin">
        <color theme="0"/>
      </bottom>
      <diagonal/>
    </border>
    <border>
      <left style="thin">
        <color theme="0"/>
      </left>
      <right style="thin">
        <color theme="0"/>
      </right>
      <top/>
      <bottom/>
      <diagonal/>
    </border>
  </borders>
  <cellStyleXfs count="2">
    <xf numFmtId="0" fontId="0" fillId="0" borderId="0"/>
    <xf numFmtId="0" fontId="7" fillId="3" borderId="0" applyNumberFormat="0" applyBorder="0" applyAlignment="0" applyProtection="0"/>
  </cellStyleXfs>
  <cellXfs count="38">
    <xf numFmtId="0" fontId="0" fillId="0" borderId="0" xfId="0"/>
    <xf numFmtId="0" fontId="13" fillId="0" borderId="0" xfId="0" applyFont="1"/>
    <xf numFmtId="164" fontId="13" fillId="0" borderId="0" xfId="0" applyNumberFormat="1" applyFont="1"/>
    <xf numFmtId="49" fontId="13" fillId="0" borderId="0" xfId="0" applyNumberFormat="1" applyFont="1"/>
    <xf numFmtId="0" fontId="12" fillId="0" borderId="0" xfId="0" applyFont="1"/>
    <xf numFmtId="4" fontId="13" fillId="0" borderId="0" xfId="0" applyNumberFormat="1" applyFont="1"/>
    <xf numFmtId="16" fontId="13" fillId="0" borderId="0" xfId="0" applyNumberFormat="1" applyFont="1"/>
    <xf numFmtId="165" fontId="13" fillId="0" borderId="0" xfId="0" applyNumberFormat="1" applyFont="1"/>
    <xf numFmtId="0" fontId="10" fillId="0" borderId="0" xfId="0" applyFont="1"/>
    <xf numFmtId="164" fontId="0" fillId="0" borderId="0" xfId="0" applyNumberFormat="1"/>
    <xf numFmtId="49" fontId="11" fillId="2" borderId="1" xfId="0" applyNumberFormat="1" applyFont="1" applyFill="1" applyBorder="1" applyAlignment="1">
      <alignment horizontal="center" vertical="center"/>
    </xf>
    <xf numFmtId="0" fontId="11" fillId="2" borderId="1" xfId="0" applyFont="1" applyFill="1" applyBorder="1" applyAlignment="1">
      <alignment horizontal="center" vertical="center"/>
    </xf>
    <xf numFmtId="0" fontId="15" fillId="2" borderId="1" xfId="0" applyFont="1" applyFill="1" applyBorder="1" applyAlignment="1">
      <alignment horizontal="center" vertical="center"/>
    </xf>
    <xf numFmtId="0" fontId="8" fillId="0" borderId="0" xfId="0" applyFont="1"/>
    <xf numFmtId="164" fontId="8" fillId="0" borderId="0" xfId="0" applyNumberFormat="1" applyFont="1"/>
    <xf numFmtId="164" fontId="12" fillId="0" borderId="0" xfId="0" applyNumberFormat="1" applyFont="1"/>
    <xf numFmtId="0" fontId="7" fillId="3" borderId="0" xfId="1"/>
    <xf numFmtId="164" fontId="7" fillId="3" borderId="0" xfId="1" applyNumberFormat="1"/>
    <xf numFmtId="0" fontId="6" fillId="0" borderId="0" xfId="0" applyFont="1"/>
    <xf numFmtId="0" fontId="5" fillId="0" borderId="0" xfId="0" applyFont="1"/>
    <xf numFmtId="49" fontId="11" fillId="2" borderId="1" xfId="0" applyNumberFormat="1" applyFont="1" applyFill="1" applyBorder="1" applyAlignment="1">
      <alignment horizontal="left" vertical="top"/>
    </xf>
    <xf numFmtId="0" fontId="11" fillId="2" borderId="1" xfId="0" applyFont="1" applyFill="1" applyBorder="1" applyAlignment="1">
      <alignment horizontal="left" vertical="top"/>
    </xf>
    <xf numFmtId="0" fontId="15" fillId="2" borderId="1" xfId="0" applyFont="1" applyFill="1" applyBorder="1" applyAlignment="1">
      <alignment horizontal="left" vertical="top"/>
    </xf>
    <xf numFmtId="49" fontId="13" fillId="0" borderId="0" xfId="0" applyNumberFormat="1" applyFont="1" applyAlignment="1">
      <alignment horizontal="left" vertical="top"/>
    </xf>
    <xf numFmtId="0" fontId="13" fillId="0" borderId="0" xfId="0" applyFont="1" applyAlignment="1">
      <alignment horizontal="left" vertical="top"/>
    </xf>
    <xf numFmtId="0" fontId="12" fillId="0" borderId="0" xfId="0" applyFont="1" applyAlignment="1">
      <alignment horizontal="left" vertical="top"/>
    </xf>
    <xf numFmtId="0" fontId="9" fillId="0" borderId="0" xfId="0" applyFont="1" applyAlignment="1">
      <alignment horizontal="left" vertical="top"/>
    </xf>
    <xf numFmtId="0" fontId="8" fillId="0" borderId="0" xfId="0" applyFont="1" applyAlignment="1">
      <alignment horizontal="left" vertical="top"/>
    </xf>
    <xf numFmtId="0" fontId="7" fillId="0" borderId="0" xfId="0" applyFont="1" applyAlignment="1">
      <alignment horizontal="left" vertical="top"/>
    </xf>
    <xf numFmtId="0" fontId="0" fillId="0" borderId="0" xfId="0" applyAlignment="1">
      <alignment horizontal="left" vertical="top"/>
    </xf>
    <xf numFmtId="0" fontId="6" fillId="0" borderId="0" xfId="0" applyFont="1" applyAlignment="1">
      <alignment horizontal="left" vertical="top"/>
    </xf>
    <xf numFmtId="0" fontId="5" fillId="0" borderId="0" xfId="0" applyFont="1" applyAlignment="1">
      <alignment horizontal="left" vertical="top"/>
    </xf>
    <xf numFmtId="0" fontId="4" fillId="0" borderId="0" xfId="0" applyFont="1"/>
    <xf numFmtId="0" fontId="3" fillId="0" borderId="0" xfId="0" applyFont="1"/>
    <xf numFmtId="0" fontId="2" fillId="3" borderId="0" xfId="1" applyFont="1"/>
    <xf numFmtId="0" fontId="2" fillId="0" borderId="0" xfId="0" applyFont="1"/>
    <xf numFmtId="0" fontId="15" fillId="2" borderId="2" xfId="0" applyFont="1" applyFill="1" applyBorder="1" applyAlignment="1">
      <alignment horizontal="left" vertical="top"/>
    </xf>
    <xf numFmtId="0" fontId="1" fillId="3" borderId="0" xfId="1" applyFont="1"/>
  </cellXfs>
  <cellStyles count="2">
    <cellStyle name="20% - Accent5" xfId="1" builtinId="46"/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customschemas.google.com/relationships/workbookmetadata" Target="metadata"/><Relationship Id="rId1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7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5" Type="http://schemas.openxmlformats.org/officeDocument/2006/relationships/worksheet" Target="worksheets/sheet5.xml"/><Relationship Id="rId15" Type="http://schemas.openxmlformats.org/officeDocument/2006/relationships/styles" Target="styles.xml"/><Relationship Id="rId4" Type="http://schemas.openxmlformats.org/officeDocument/2006/relationships/worksheet" Target="worksheets/sheet4.xml"/><Relationship Id="rId14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Sheets">
  <a:themeElements>
    <a:clrScheme name="Sheets">
      <a:dk1>
        <a:srgbClr val="000000"/>
      </a:dk1>
      <a:lt1>
        <a:srgbClr val="FFFFFF"/>
      </a:lt1>
      <a:dk2>
        <a:srgbClr val="000000"/>
      </a:dk2>
      <a:lt2>
        <a:srgbClr val="FFFFFF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0563C1"/>
      </a:folHlink>
    </a:clrScheme>
    <a:fontScheme name="Sheets">
      <a:majorFont>
        <a:latin typeface="Calibri"/>
        <a:ea typeface="Calibri"/>
        <a:cs typeface="Calibri"/>
      </a:majorFont>
      <a:minorFont>
        <a:latin typeface="Calibri"/>
        <a:ea typeface="Calibri"/>
        <a:cs typeface="Calibri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5">
    <tabColor rgb="FFFFC000"/>
  </sheetPr>
  <dimension ref="A1:J806"/>
  <sheetViews>
    <sheetView topLeftCell="A718" zoomScale="80" zoomScaleNormal="80" workbookViewId="0">
      <selection activeCell="K656" sqref="K656"/>
    </sheetView>
  </sheetViews>
  <sheetFormatPr defaultColWidth="14.42578125" defaultRowHeight="15" customHeight="1" x14ac:dyDescent="0.25"/>
  <cols>
    <col min="1" max="1" width="7.28515625" style="29" bestFit="1" customWidth="1"/>
    <col min="2" max="2" width="15.85546875" style="29" bestFit="1" customWidth="1"/>
    <col min="3" max="3" width="25" style="29" bestFit="1" customWidth="1"/>
    <col min="4" max="4" width="16" style="29" bestFit="1" customWidth="1"/>
    <col min="5" max="5" width="13.7109375" style="29" bestFit="1" customWidth="1"/>
    <col min="6" max="6" width="25" style="29" bestFit="1" customWidth="1"/>
    <col min="7" max="7" width="16" style="29" bestFit="1" customWidth="1"/>
    <col min="8" max="8" width="13.5703125" style="29" bestFit="1" customWidth="1"/>
  </cols>
  <sheetData>
    <row r="1" spans="1:10" ht="14.25" customHeight="1" x14ac:dyDescent="0.25">
      <c r="A1" s="20" t="s">
        <v>10</v>
      </c>
      <c r="B1" s="20" t="s">
        <v>12</v>
      </c>
      <c r="C1" s="20" t="s">
        <v>524</v>
      </c>
      <c r="D1" s="21" t="s">
        <v>550</v>
      </c>
      <c r="E1" s="22" t="s">
        <v>526</v>
      </c>
      <c r="F1" s="20" t="s">
        <v>525</v>
      </c>
      <c r="G1" s="20" t="s">
        <v>551</v>
      </c>
      <c r="H1" s="22" t="s">
        <v>527</v>
      </c>
      <c r="I1" s="36" t="s">
        <v>559</v>
      </c>
      <c r="J1" s="36" t="s">
        <v>560</v>
      </c>
    </row>
    <row r="2" spans="1:10" ht="14.25" customHeight="1" x14ac:dyDescent="0.25">
      <c r="A2" s="23" t="s">
        <v>30</v>
      </c>
      <c r="B2" s="23" t="s">
        <v>8</v>
      </c>
      <c r="C2" s="23" t="s">
        <v>56</v>
      </c>
      <c r="D2" s="24" t="str">
        <f>VLOOKUP(C2,teams_owners!A:B,2,FALSE)</f>
        <v>Rob Taylor</v>
      </c>
      <c r="E2" s="23" t="s">
        <v>82</v>
      </c>
      <c r="F2" s="23" t="s">
        <v>33</v>
      </c>
      <c r="G2" s="24" t="str">
        <f>VLOOKUP(F2,teams_owners!A:B,2,FALSE)</f>
        <v>Luc Chignell</v>
      </c>
      <c r="H2" s="23" t="s">
        <v>137</v>
      </c>
    </row>
    <row r="3" spans="1:10" ht="14.25" customHeight="1" x14ac:dyDescent="0.25">
      <c r="A3" s="23" t="s">
        <v>30</v>
      </c>
      <c r="B3" s="23" t="s">
        <v>8</v>
      </c>
      <c r="C3" s="23" t="s">
        <v>43</v>
      </c>
      <c r="D3" s="24" t="str">
        <f>VLOOKUP(C3,teams_owners!A:B,2,FALSE)</f>
        <v>Rich Andrew</v>
      </c>
      <c r="E3" s="23" t="s">
        <v>164</v>
      </c>
      <c r="F3" s="23" t="s">
        <v>52</v>
      </c>
      <c r="G3" s="24" t="str">
        <f>VLOOKUP(F3,teams_owners!A:B,2,FALSE)</f>
        <v>Fiona Kerry</v>
      </c>
      <c r="H3" s="23" t="s">
        <v>165</v>
      </c>
    </row>
    <row r="4" spans="1:10" ht="14.25" customHeight="1" x14ac:dyDescent="0.25">
      <c r="A4" s="23" t="s">
        <v>30</v>
      </c>
      <c r="B4" s="23" t="s">
        <v>8</v>
      </c>
      <c r="C4" s="23" t="s">
        <v>32</v>
      </c>
      <c r="D4" s="24" t="str">
        <f>VLOOKUP(C4,teams_owners!A:B,2,FALSE)</f>
        <v>Nathan</v>
      </c>
      <c r="E4" s="23" t="s">
        <v>88</v>
      </c>
      <c r="F4" s="23" t="s">
        <v>68</v>
      </c>
      <c r="G4" s="24" t="str">
        <f>VLOOKUP(F4,teams_owners!A:B,2,FALSE)</f>
        <v>Adam Wilko</v>
      </c>
      <c r="H4" s="23" t="s">
        <v>119</v>
      </c>
    </row>
    <row r="5" spans="1:10" ht="14.25" customHeight="1" x14ac:dyDescent="0.25">
      <c r="A5" s="23" t="s">
        <v>30</v>
      </c>
      <c r="B5" s="23" t="s">
        <v>8</v>
      </c>
      <c r="C5" s="23" t="s">
        <v>47</v>
      </c>
      <c r="D5" s="24" t="str">
        <f>VLOOKUP(C5,teams_owners!A:B,2,FALSE)</f>
        <v>Rob Connet</v>
      </c>
      <c r="E5" s="23" t="s">
        <v>157</v>
      </c>
      <c r="F5" s="23" t="s">
        <v>40</v>
      </c>
      <c r="G5" s="24" t="str">
        <f>VLOOKUP(F5,teams_owners!A:B,2,FALSE)</f>
        <v>Greg Mitchell</v>
      </c>
      <c r="H5" s="25">
        <v>76.92</v>
      </c>
    </row>
    <row r="6" spans="1:10" ht="14.25" customHeight="1" x14ac:dyDescent="0.25">
      <c r="A6" s="23" t="s">
        <v>30</v>
      </c>
      <c r="B6" s="23" t="s">
        <v>8</v>
      </c>
      <c r="C6" s="23" t="s">
        <v>42</v>
      </c>
      <c r="D6" s="24" t="str">
        <f>VLOOKUP(C6,teams_owners!A:B,2,FALSE)</f>
        <v>Dave Bracegirdle</v>
      </c>
      <c r="E6" s="23" t="s">
        <v>109</v>
      </c>
      <c r="F6" s="23" t="s">
        <v>58</v>
      </c>
      <c r="G6" s="24" t="str">
        <f>VLOOKUP(F6,teams_owners!A:B,2,FALSE)</f>
        <v xml:space="preserve">Charlie Hauton </v>
      </c>
      <c r="H6" s="25">
        <v>67.3</v>
      </c>
    </row>
    <row r="7" spans="1:10" ht="14.25" customHeight="1" x14ac:dyDescent="0.25">
      <c r="A7" s="23" t="s">
        <v>30</v>
      </c>
      <c r="B7" s="23" t="s">
        <v>6</v>
      </c>
      <c r="C7" s="23" t="s">
        <v>56</v>
      </c>
      <c r="D7" s="24" t="str">
        <f>VLOOKUP(C7,teams_owners!A:B,2,FALSE)</f>
        <v>Rob Taylor</v>
      </c>
      <c r="E7" s="23" t="s">
        <v>194</v>
      </c>
      <c r="F7" s="23" t="s">
        <v>40</v>
      </c>
      <c r="G7" s="24" t="str">
        <f>VLOOKUP(F7,teams_owners!A:B,2,FALSE)</f>
        <v>Greg Mitchell</v>
      </c>
      <c r="H7" s="23" t="s">
        <v>195</v>
      </c>
    </row>
    <row r="8" spans="1:10" ht="14.25" customHeight="1" x14ac:dyDescent="0.25">
      <c r="A8" s="23" t="s">
        <v>30</v>
      </c>
      <c r="B8" s="23" t="s">
        <v>6</v>
      </c>
      <c r="C8" s="23" t="s">
        <v>32</v>
      </c>
      <c r="D8" s="24" t="str">
        <f>VLOOKUP(C8,teams_owners!A:B,2,FALSE)</f>
        <v>Nathan</v>
      </c>
      <c r="E8" s="23" t="s">
        <v>103</v>
      </c>
      <c r="F8" s="23" t="s">
        <v>43</v>
      </c>
      <c r="G8" s="24" t="str">
        <f>VLOOKUP(F8,teams_owners!A:B,2,FALSE)</f>
        <v>Rich Andrew</v>
      </c>
      <c r="H8" s="23" t="s">
        <v>61</v>
      </c>
    </row>
    <row r="9" spans="1:10" ht="14.25" customHeight="1" x14ac:dyDescent="0.25">
      <c r="A9" s="23" t="s">
        <v>30</v>
      </c>
      <c r="B9" s="23" t="s">
        <v>6</v>
      </c>
      <c r="C9" s="23" t="s">
        <v>52</v>
      </c>
      <c r="D9" s="24" t="str">
        <f>VLOOKUP(C9,teams_owners!A:B,2,FALSE)</f>
        <v>Fiona Kerry</v>
      </c>
      <c r="E9" s="23" t="s">
        <v>115</v>
      </c>
      <c r="F9" s="23" t="s">
        <v>47</v>
      </c>
      <c r="G9" s="24" t="str">
        <f>VLOOKUP(F9,teams_owners!A:B,2,FALSE)</f>
        <v>Rob Connet</v>
      </c>
      <c r="H9" s="23" t="s">
        <v>182</v>
      </c>
    </row>
    <row r="10" spans="1:10" ht="14.25" customHeight="1" x14ac:dyDescent="0.25">
      <c r="A10" s="23" t="s">
        <v>30</v>
      </c>
      <c r="B10" s="23" t="s">
        <v>6</v>
      </c>
      <c r="C10" s="23" t="s">
        <v>68</v>
      </c>
      <c r="D10" s="24" t="str">
        <f>VLOOKUP(C10,teams_owners!A:B,2,FALSE)</f>
        <v>Adam Wilko</v>
      </c>
      <c r="E10" s="23" t="s">
        <v>198</v>
      </c>
      <c r="F10" s="23" t="s">
        <v>42</v>
      </c>
      <c r="G10" s="24" t="str">
        <f>VLOOKUP(F10,teams_owners!A:B,2,FALSE)</f>
        <v>Dave Bracegirdle</v>
      </c>
      <c r="H10" s="23" t="s">
        <v>138</v>
      </c>
    </row>
    <row r="11" spans="1:10" ht="14.25" customHeight="1" x14ac:dyDescent="0.25">
      <c r="A11" s="23" t="s">
        <v>30</v>
      </c>
      <c r="B11" s="23" t="s">
        <v>6</v>
      </c>
      <c r="C11" s="23" t="s">
        <v>58</v>
      </c>
      <c r="D11" s="24" t="str">
        <f>VLOOKUP(C11,teams_owners!A:B,2,FALSE)</f>
        <v xml:space="preserve">Charlie Hauton </v>
      </c>
      <c r="E11" s="23" t="s">
        <v>146</v>
      </c>
      <c r="F11" s="23" t="s">
        <v>33</v>
      </c>
      <c r="G11" s="24" t="str">
        <f>VLOOKUP(F11,teams_owners!A:B,2,FALSE)</f>
        <v>Luc Chignell</v>
      </c>
      <c r="H11" s="25">
        <v>75.78</v>
      </c>
    </row>
    <row r="12" spans="1:10" ht="14.25" customHeight="1" x14ac:dyDescent="0.25">
      <c r="A12" s="23" t="s">
        <v>30</v>
      </c>
      <c r="B12" s="23" t="s">
        <v>57</v>
      </c>
      <c r="C12" s="23" t="s">
        <v>56</v>
      </c>
      <c r="D12" s="24" t="str">
        <f>VLOOKUP(C12,teams_owners!A:B,2,FALSE)</f>
        <v>Rob Taylor</v>
      </c>
      <c r="E12" s="23" t="s">
        <v>200</v>
      </c>
      <c r="F12" s="23" t="s">
        <v>52</v>
      </c>
      <c r="G12" s="24" t="str">
        <f>VLOOKUP(F12,teams_owners!A:B,2,FALSE)</f>
        <v>Fiona Kerry</v>
      </c>
      <c r="H12" s="23" t="s">
        <v>201</v>
      </c>
    </row>
    <row r="13" spans="1:10" ht="14.25" customHeight="1" x14ac:dyDescent="0.25">
      <c r="A13" s="23" t="s">
        <v>30</v>
      </c>
      <c r="B13" s="23" t="s">
        <v>57</v>
      </c>
      <c r="C13" s="23" t="s">
        <v>43</v>
      </c>
      <c r="D13" s="24" t="str">
        <f>VLOOKUP(C13,teams_owners!A:B,2,FALSE)</f>
        <v>Rich Andrew</v>
      </c>
      <c r="E13" s="23" t="s">
        <v>76</v>
      </c>
      <c r="F13" s="23" t="s">
        <v>47</v>
      </c>
      <c r="G13" s="24" t="str">
        <f>VLOOKUP(F13,teams_owners!A:B,2,FALSE)</f>
        <v>Rob Connet</v>
      </c>
      <c r="H13" s="23" t="s">
        <v>179</v>
      </c>
    </row>
    <row r="14" spans="1:10" ht="14.25" customHeight="1" x14ac:dyDescent="0.25">
      <c r="A14" s="23" t="s">
        <v>30</v>
      </c>
      <c r="B14" s="23" t="s">
        <v>57</v>
      </c>
      <c r="C14" s="23" t="s">
        <v>42</v>
      </c>
      <c r="D14" s="24" t="str">
        <f>VLOOKUP(C14,teams_owners!A:B,2,FALSE)</f>
        <v>Dave Bracegirdle</v>
      </c>
      <c r="E14" s="23" t="s">
        <v>183</v>
      </c>
      <c r="F14" s="23" t="s">
        <v>32</v>
      </c>
      <c r="G14" s="24" t="str">
        <f>VLOOKUP(F14,teams_owners!A:B,2,FALSE)</f>
        <v>Nathan</v>
      </c>
      <c r="H14" s="23" t="s">
        <v>79</v>
      </c>
    </row>
    <row r="15" spans="1:10" ht="14.25" customHeight="1" x14ac:dyDescent="0.25">
      <c r="A15" s="23" t="s">
        <v>30</v>
      </c>
      <c r="B15" s="23" t="s">
        <v>57</v>
      </c>
      <c r="C15" s="23" t="s">
        <v>33</v>
      </c>
      <c r="D15" s="24" t="str">
        <f>VLOOKUP(C15,teams_owners!A:B,2,FALSE)</f>
        <v>Luc Chignell</v>
      </c>
      <c r="E15" s="23" t="s">
        <v>125</v>
      </c>
      <c r="F15" s="23" t="s">
        <v>68</v>
      </c>
      <c r="G15" s="24" t="str">
        <f>VLOOKUP(F15,teams_owners!A:B,2,FALSE)</f>
        <v>Adam Wilko</v>
      </c>
      <c r="H15" s="23" t="s">
        <v>126</v>
      </c>
    </row>
    <row r="16" spans="1:10" ht="14.25" customHeight="1" x14ac:dyDescent="0.25">
      <c r="A16" s="23" t="s">
        <v>30</v>
      </c>
      <c r="B16" s="23" t="s">
        <v>57</v>
      </c>
      <c r="C16" s="23" t="s">
        <v>58</v>
      </c>
      <c r="D16" s="24" t="str">
        <f>VLOOKUP(C16,teams_owners!A:B,2,FALSE)</f>
        <v xml:space="preserve">Charlie Hauton </v>
      </c>
      <c r="E16" s="23" t="s">
        <v>202</v>
      </c>
      <c r="F16" s="23" t="s">
        <v>40</v>
      </c>
      <c r="G16" s="24" t="str">
        <f>VLOOKUP(F16,teams_owners!A:B,2,FALSE)</f>
        <v>Greg Mitchell</v>
      </c>
      <c r="H16" s="25">
        <v>91.7</v>
      </c>
    </row>
    <row r="17" spans="1:8" ht="14.25" customHeight="1" x14ac:dyDescent="0.25">
      <c r="A17" s="23" t="s">
        <v>30</v>
      </c>
      <c r="B17" s="23" t="s">
        <v>41</v>
      </c>
      <c r="C17" s="23" t="s">
        <v>56</v>
      </c>
      <c r="D17" s="24" t="str">
        <f>VLOOKUP(C17,teams_owners!A:B,2,FALSE)</f>
        <v>Rob Taylor</v>
      </c>
      <c r="E17" s="23" t="s">
        <v>181</v>
      </c>
      <c r="F17" s="23" t="s">
        <v>47</v>
      </c>
      <c r="G17" s="24" t="str">
        <f>VLOOKUP(F17,teams_owners!A:B,2,FALSE)</f>
        <v>Rob Connet</v>
      </c>
      <c r="H17" s="23" t="s">
        <v>87</v>
      </c>
    </row>
    <row r="18" spans="1:8" ht="14.25" customHeight="1" x14ac:dyDescent="0.25">
      <c r="A18" s="23" t="s">
        <v>30</v>
      </c>
      <c r="B18" s="23" t="s">
        <v>41</v>
      </c>
      <c r="C18" s="23" t="s">
        <v>42</v>
      </c>
      <c r="D18" s="24" t="str">
        <f>VLOOKUP(C18,teams_owners!A:B,2,FALSE)</f>
        <v>Dave Bracegirdle</v>
      </c>
      <c r="E18" s="23" t="s">
        <v>148</v>
      </c>
      <c r="F18" s="23" t="s">
        <v>43</v>
      </c>
      <c r="G18" s="24" t="str">
        <f>VLOOKUP(F18,teams_owners!A:B,2,FALSE)</f>
        <v>Rich Andrew</v>
      </c>
      <c r="H18" s="23" t="s">
        <v>44</v>
      </c>
    </row>
    <row r="19" spans="1:8" ht="14.25" customHeight="1" x14ac:dyDescent="0.25">
      <c r="A19" s="23" t="s">
        <v>30</v>
      </c>
      <c r="B19" s="23" t="s">
        <v>41</v>
      </c>
      <c r="C19" s="23" t="s">
        <v>32</v>
      </c>
      <c r="D19" s="24" t="str">
        <f>VLOOKUP(C19,teams_owners!A:B,2,FALSE)</f>
        <v>Nathan</v>
      </c>
      <c r="E19" s="23" t="s">
        <v>147</v>
      </c>
      <c r="F19" s="23" t="s">
        <v>33</v>
      </c>
      <c r="G19" s="24" t="str">
        <f>VLOOKUP(F19,teams_owners!A:B,2,FALSE)</f>
        <v>Luc Chignell</v>
      </c>
      <c r="H19" s="23" t="s">
        <v>204</v>
      </c>
    </row>
    <row r="20" spans="1:8" ht="14.25" customHeight="1" x14ac:dyDescent="0.25">
      <c r="A20" s="23" t="s">
        <v>30</v>
      </c>
      <c r="B20" s="23" t="s">
        <v>41</v>
      </c>
      <c r="C20" s="23" t="s">
        <v>52</v>
      </c>
      <c r="D20" s="24" t="str">
        <f>VLOOKUP(C20,teams_owners!A:B,2,FALSE)</f>
        <v>Fiona Kerry</v>
      </c>
      <c r="E20" s="23" t="s">
        <v>97</v>
      </c>
      <c r="F20" s="23" t="s">
        <v>58</v>
      </c>
      <c r="G20" s="24" t="str">
        <f>VLOOKUP(F20,teams_owners!A:B,2,FALSE)</f>
        <v xml:space="preserve">Charlie Hauton </v>
      </c>
      <c r="H20" s="23" t="s">
        <v>98</v>
      </c>
    </row>
    <row r="21" spans="1:8" ht="14.25" customHeight="1" x14ac:dyDescent="0.25">
      <c r="A21" s="23" t="s">
        <v>30</v>
      </c>
      <c r="B21" s="23" t="s">
        <v>41</v>
      </c>
      <c r="C21" s="23" t="s">
        <v>68</v>
      </c>
      <c r="D21" s="24" t="str">
        <f>VLOOKUP(C21,teams_owners!A:B,2,FALSE)</f>
        <v>Adam Wilko</v>
      </c>
      <c r="E21" s="23" t="s">
        <v>205</v>
      </c>
      <c r="F21" s="23" t="s">
        <v>40</v>
      </c>
      <c r="G21" s="24" t="str">
        <f>VLOOKUP(F21,teams_owners!A:B,2,FALSE)</f>
        <v>Greg Mitchell</v>
      </c>
      <c r="H21" s="25">
        <v>87.14</v>
      </c>
    </row>
    <row r="22" spans="1:8" ht="14.25" customHeight="1" x14ac:dyDescent="0.25">
      <c r="A22" s="23" t="s">
        <v>30</v>
      </c>
      <c r="B22" s="23" t="s">
        <v>27</v>
      </c>
      <c r="C22" s="23" t="s">
        <v>56</v>
      </c>
      <c r="D22" s="24" t="str">
        <f>VLOOKUP(C22,teams_owners!A:B,2,FALSE)</f>
        <v>Rob Taylor</v>
      </c>
      <c r="E22" s="23" t="s">
        <v>206</v>
      </c>
      <c r="F22" s="23" t="s">
        <v>43</v>
      </c>
      <c r="G22" s="24" t="str">
        <f>VLOOKUP(F22,teams_owners!A:B,2,FALSE)</f>
        <v>Rich Andrew</v>
      </c>
      <c r="H22" s="23" t="s">
        <v>116</v>
      </c>
    </row>
    <row r="23" spans="1:8" ht="14.25" customHeight="1" x14ac:dyDescent="0.25">
      <c r="A23" s="23" t="s">
        <v>30</v>
      </c>
      <c r="B23" s="23" t="s">
        <v>27</v>
      </c>
      <c r="C23" s="23" t="s">
        <v>33</v>
      </c>
      <c r="D23" s="24" t="str">
        <f>VLOOKUP(C23,teams_owners!A:B,2,FALSE)</f>
        <v>Luc Chignell</v>
      </c>
      <c r="E23" s="23" t="s">
        <v>76</v>
      </c>
      <c r="F23" s="23" t="s">
        <v>42</v>
      </c>
      <c r="G23" s="24" t="str">
        <f>VLOOKUP(F23,teams_owners!A:B,2,FALSE)</f>
        <v>Dave Bracegirdle</v>
      </c>
      <c r="H23" s="23" t="s">
        <v>180</v>
      </c>
    </row>
    <row r="24" spans="1:8" ht="14.25" customHeight="1" x14ac:dyDescent="0.25">
      <c r="A24" s="23" t="s">
        <v>30</v>
      </c>
      <c r="B24" s="23" t="s">
        <v>27</v>
      </c>
      <c r="C24" s="23" t="s">
        <v>58</v>
      </c>
      <c r="D24" s="24" t="str">
        <f>VLOOKUP(C24,teams_owners!A:B,2,FALSE)</f>
        <v xml:space="preserve">Charlie Hauton </v>
      </c>
      <c r="E24" s="23" t="s">
        <v>116</v>
      </c>
      <c r="F24" s="23" t="s">
        <v>47</v>
      </c>
      <c r="G24" s="24" t="str">
        <f>VLOOKUP(F24,teams_owners!A:B,2,FALSE)</f>
        <v>Rob Connet</v>
      </c>
      <c r="H24" s="23" t="s">
        <v>182</v>
      </c>
    </row>
    <row r="25" spans="1:8" ht="14.25" customHeight="1" x14ac:dyDescent="0.25">
      <c r="A25" s="23" t="s">
        <v>30</v>
      </c>
      <c r="B25" s="23" t="s">
        <v>27</v>
      </c>
      <c r="C25" s="23" t="s">
        <v>40</v>
      </c>
      <c r="D25" s="24" t="str">
        <f>VLOOKUP(C25,teams_owners!A:B,2,FALSE)</f>
        <v>Greg Mitchell</v>
      </c>
      <c r="E25" s="23" t="s">
        <v>187</v>
      </c>
      <c r="F25" s="23" t="s">
        <v>32</v>
      </c>
      <c r="G25" s="24" t="str">
        <f>VLOOKUP(F25,teams_owners!A:B,2,FALSE)</f>
        <v>Nathan</v>
      </c>
      <c r="H25" s="23" t="s">
        <v>141</v>
      </c>
    </row>
    <row r="26" spans="1:8" ht="14.25" customHeight="1" x14ac:dyDescent="0.25">
      <c r="A26" s="23" t="s">
        <v>30</v>
      </c>
      <c r="B26" s="23" t="s">
        <v>27</v>
      </c>
      <c r="C26" s="23" t="s">
        <v>68</v>
      </c>
      <c r="D26" s="24" t="str">
        <f>VLOOKUP(C26,teams_owners!A:B,2,FALSE)</f>
        <v>Adam Wilko</v>
      </c>
      <c r="E26" s="23" t="s">
        <v>124</v>
      </c>
      <c r="F26" s="23" t="s">
        <v>52</v>
      </c>
      <c r="G26" s="24" t="str">
        <f>VLOOKUP(F26,teams_owners!A:B,2,FALSE)</f>
        <v>Fiona Kerry</v>
      </c>
      <c r="H26" s="25">
        <v>72.36</v>
      </c>
    </row>
    <row r="27" spans="1:8" ht="14.25" customHeight="1" x14ac:dyDescent="0.25">
      <c r="A27" s="23" t="s">
        <v>30</v>
      </c>
      <c r="B27" s="23" t="s">
        <v>46</v>
      </c>
      <c r="C27" s="23" t="s">
        <v>56</v>
      </c>
      <c r="D27" s="24" t="str">
        <f>VLOOKUP(C27,teams_owners!A:B,2,FALSE)</f>
        <v>Rob Taylor</v>
      </c>
      <c r="E27" s="23" t="s">
        <v>186</v>
      </c>
      <c r="F27" s="23" t="s">
        <v>58</v>
      </c>
      <c r="G27" s="24" t="str">
        <f>VLOOKUP(F27,teams_owners!A:B,2,FALSE)</f>
        <v xml:space="preserve">Charlie Hauton </v>
      </c>
      <c r="H27" s="23" t="s">
        <v>185</v>
      </c>
    </row>
    <row r="28" spans="1:8" ht="14.25" customHeight="1" x14ac:dyDescent="0.25">
      <c r="A28" s="23" t="s">
        <v>30</v>
      </c>
      <c r="B28" s="23" t="s">
        <v>46</v>
      </c>
      <c r="C28" s="23" t="s">
        <v>33</v>
      </c>
      <c r="D28" s="24" t="str">
        <f>VLOOKUP(C28,teams_owners!A:B,2,FALSE)</f>
        <v>Luc Chignell</v>
      </c>
      <c r="E28" s="23" t="s">
        <v>95</v>
      </c>
      <c r="F28" s="23" t="s">
        <v>43</v>
      </c>
      <c r="G28" s="24" t="str">
        <f>VLOOKUP(F28,teams_owners!A:B,2,FALSE)</f>
        <v>Rich Andrew</v>
      </c>
      <c r="H28" s="23" t="s">
        <v>134</v>
      </c>
    </row>
    <row r="29" spans="1:8" ht="14.25" customHeight="1" x14ac:dyDescent="0.25">
      <c r="A29" s="23" t="s">
        <v>30</v>
      </c>
      <c r="B29" s="23" t="s">
        <v>46</v>
      </c>
      <c r="C29" s="23" t="s">
        <v>42</v>
      </c>
      <c r="D29" s="24" t="str">
        <f>VLOOKUP(C29,teams_owners!A:B,2,FALSE)</f>
        <v>Dave Bracegirdle</v>
      </c>
      <c r="E29" s="23" t="s">
        <v>166</v>
      </c>
      <c r="F29" s="23" t="s">
        <v>40</v>
      </c>
      <c r="G29" s="24" t="str">
        <f>VLOOKUP(F29,teams_owners!A:B,2,FALSE)</f>
        <v>Greg Mitchell</v>
      </c>
      <c r="H29" s="23" t="s">
        <v>110</v>
      </c>
    </row>
    <row r="30" spans="1:8" ht="14.25" customHeight="1" x14ac:dyDescent="0.25">
      <c r="A30" s="23" t="s">
        <v>30</v>
      </c>
      <c r="B30" s="23" t="s">
        <v>46</v>
      </c>
      <c r="C30" s="23" t="s">
        <v>47</v>
      </c>
      <c r="D30" s="24" t="str">
        <f>VLOOKUP(C30,teams_owners!A:B,2,FALSE)</f>
        <v>Rob Connet</v>
      </c>
      <c r="E30" s="23" t="s">
        <v>211</v>
      </c>
      <c r="F30" s="23" t="s">
        <v>68</v>
      </c>
      <c r="G30" s="24" t="str">
        <f>VLOOKUP(F30,teams_owners!A:B,2,FALSE)</f>
        <v>Adam Wilko</v>
      </c>
      <c r="H30" s="23" t="s">
        <v>212</v>
      </c>
    </row>
    <row r="31" spans="1:8" ht="14.25" customHeight="1" x14ac:dyDescent="0.25">
      <c r="A31" s="23" t="s">
        <v>30</v>
      </c>
      <c r="B31" s="23" t="s">
        <v>46</v>
      </c>
      <c r="C31" s="23" t="s">
        <v>32</v>
      </c>
      <c r="D31" s="24" t="str">
        <f>VLOOKUP(C31,teams_owners!A:B,2,FALSE)</f>
        <v>Nathan</v>
      </c>
      <c r="E31" s="23" t="s">
        <v>213</v>
      </c>
      <c r="F31" s="23" t="s">
        <v>52</v>
      </c>
      <c r="G31" s="24" t="str">
        <f>VLOOKUP(F31,teams_owners!A:B,2,FALSE)</f>
        <v>Fiona Kerry</v>
      </c>
      <c r="H31" s="25">
        <v>92.24</v>
      </c>
    </row>
    <row r="32" spans="1:8" ht="14.25" customHeight="1" x14ac:dyDescent="0.25">
      <c r="A32" s="23" t="s">
        <v>30</v>
      </c>
      <c r="B32" s="23" t="s">
        <v>54</v>
      </c>
      <c r="C32" s="23" t="s">
        <v>56</v>
      </c>
      <c r="D32" s="24" t="str">
        <f>VLOOKUP(C32,teams_owners!A:B,2,FALSE)</f>
        <v>Rob Taylor</v>
      </c>
      <c r="E32" s="23" t="s">
        <v>69</v>
      </c>
      <c r="F32" s="23" t="s">
        <v>68</v>
      </c>
      <c r="G32" s="24" t="str">
        <f>VLOOKUP(F32,teams_owners!A:B,2,FALSE)</f>
        <v>Adam Wilko</v>
      </c>
      <c r="H32" s="23" t="s">
        <v>184</v>
      </c>
    </row>
    <row r="33" spans="1:8" ht="14.25" customHeight="1" x14ac:dyDescent="0.25">
      <c r="A33" s="23" t="s">
        <v>30</v>
      </c>
      <c r="B33" s="23" t="s">
        <v>54</v>
      </c>
      <c r="C33" s="23" t="s">
        <v>43</v>
      </c>
      <c r="D33" s="24" t="str">
        <f>VLOOKUP(C33,teams_owners!A:B,2,FALSE)</f>
        <v>Rich Andrew</v>
      </c>
      <c r="E33" s="23" t="s">
        <v>208</v>
      </c>
      <c r="F33" s="23" t="s">
        <v>58</v>
      </c>
      <c r="G33" s="24" t="str">
        <f>VLOOKUP(F33,teams_owners!A:B,2,FALSE)</f>
        <v xml:space="preserve">Charlie Hauton </v>
      </c>
      <c r="H33" s="23" t="s">
        <v>207</v>
      </c>
    </row>
    <row r="34" spans="1:8" ht="14.25" customHeight="1" x14ac:dyDescent="0.25">
      <c r="A34" s="23" t="s">
        <v>30</v>
      </c>
      <c r="B34" s="23" t="s">
        <v>54</v>
      </c>
      <c r="C34" s="23" t="s">
        <v>40</v>
      </c>
      <c r="D34" s="24" t="str">
        <f>VLOOKUP(C34,teams_owners!A:B,2,FALSE)</f>
        <v>Greg Mitchell</v>
      </c>
      <c r="E34" s="23" t="s">
        <v>150</v>
      </c>
      <c r="F34" s="23" t="s">
        <v>33</v>
      </c>
      <c r="G34" s="24" t="str">
        <f>VLOOKUP(F34,teams_owners!A:B,2,FALSE)</f>
        <v>Luc Chignell</v>
      </c>
      <c r="H34" s="23" t="s">
        <v>151</v>
      </c>
    </row>
    <row r="35" spans="1:8" ht="14.25" customHeight="1" x14ac:dyDescent="0.25">
      <c r="A35" s="23" t="s">
        <v>30</v>
      </c>
      <c r="B35" s="23" t="s">
        <v>54</v>
      </c>
      <c r="C35" s="23" t="s">
        <v>52</v>
      </c>
      <c r="D35" s="24" t="str">
        <f>VLOOKUP(C35,teams_owners!A:B,2,FALSE)</f>
        <v>Fiona Kerry</v>
      </c>
      <c r="E35" s="23" t="s">
        <v>210</v>
      </c>
      <c r="F35" s="23" t="s">
        <v>42</v>
      </c>
      <c r="G35" s="24" t="str">
        <f>VLOOKUP(F35,teams_owners!A:B,2,FALSE)</f>
        <v>Dave Bracegirdle</v>
      </c>
      <c r="H35" s="23" t="s">
        <v>215</v>
      </c>
    </row>
    <row r="36" spans="1:8" ht="14.25" customHeight="1" x14ac:dyDescent="0.25">
      <c r="A36" s="23" t="s">
        <v>30</v>
      </c>
      <c r="B36" s="23" t="s">
        <v>54</v>
      </c>
      <c r="C36" s="23" t="s">
        <v>32</v>
      </c>
      <c r="D36" s="24" t="str">
        <f>VLOOKUP(C36,teams_owners!A:B,2,FALSE)</f>
        <v>Nathan</v>
      </c>
      <c r="E36" s="23" t="s">
        <v>203</v>
      </c>
      <c r="F36" s="23" t="s">
        <v>47</v>
      </c>
      <c r="G36" s="24" t="str">
        <f>VLOOKUP(F36,teams_owners!A:B,2,FALSE)</f>
        <v>Rob Connet</v>
      </c>
      <c r="H36" s="25">
        <v>84.92</v>
      </c>
    </row>
    <row r="37" spans="1:8" ht="14.25" customHeight="1" x14ac:dyDescent="0.25">
      <c r="A37" s="23" t="s">
        <v>30</v>
      </c>
      <c r="B37" s="23" t="s">
        <v>55</v>
      </c>
      <c r="C37" s="23" t="s">
        <v>56</v>
      </c>
      <c r="D37" s="24" t="str">
        <f>VLOOKUP(C37,teams_owners!A:B,2,FALSE)</f>
        <v>Rob Taylor</v>
      </c>
      <c r="E37" s="23" t="s">
        <v>158</v>
      </c>
      <c r="F37" s="23" t="s">
        <v>32</v>
      </c>
      <c r="G37" s="24" t="str">
        <f>VLOOKUP(F37,teams_owners!A:B,2,FALSE)</f>
        <v>Nathan</v>
      </c>
      <c r="H37" s="23" t="s">
        <v>169</v>
      </c>
    </row>
    <row r="38" spans="1:8" ht="14.25" customHeight="1" x14ac:dyDescent="0.25">
      <c r="A38" s="23" t="s">
        <v>30</v>
      </c>
      <c r="B38" s="23" t="s">
        <v>55</v>
      </c>
      <c r="C38" s="23" t="s">
        <v>40</v>
      </c>
      <c r="D38" s="24" t="str">
        <f>VLOOKUP(C38,teams_owners!A:B,2,FALSE)</f>
        <v>Greg Mitchell</v>
      </c>
      <c r="E38" s="23" t="s">
        <v>217</v>
      </c>
      <c r="F38" s="23" t="s">
        <v>43</v>
      </c>
      <c r="G38" s="24" t="str">
        <f>VLOOKUP(F38,teams_owners!A:B,2,FALSE)</f>
        <v>Rich Andrew</v>
      </c>
      <c r="H38" s="23" t="s">
        <v>218</v>
      </c>
    </row>
    <row r="39" spans="1:8" ht="14.25" customHeight="1" x14ac:dyDescent="0.25">
      <c r="A39" s="23" t="s">
        <v>30</v>
      </c>
      <c r="B39" s="23" t="s">
        <v>55</v>
      </c>
      <c r="C39" s="23" t="s">
        <v>58</v>
      </c>
      <c r="D39" s="24" t="str">
        <f>VLOOKUP(C39,teams_owners!A:B,2,FALSE)</f>
        <v xml:space="preserve">Charlie Hauton </v>
      </c>
      <c r="E39" s="23" t="s">
        <v>136</v>
      </c>
      <c r="F39" s="23" t="s">
        <v>68</v>
      </c>
      <c r="G39" s="24" t="str">
        <f>VLOOKUP(F39,teams_owners!A:B,2,FALSE)</f>
        <v>Adam Wilko</v>
      </c>
      <c r="H39" s="23" t="s">
        <v>161</v>
      </c>
    </row>
    <row r="40" spans="1:8" ht="14.25" customHeight="1" x14ac:dyDescent="0.25">
      <c r="A40" s="23" t="s">
        <v>30</v>
      </c>
      <c r="B40" s="23" t="s">
        <v>55</v>
      </c>
      <c r="C40" s="23" t="s">
        <v>33</v>
      </c>
      <c r="D40" s="24" t="str">
        <f>VLOOKUP(C40,teams_owners!A:B,2,FALSE)</f>
        <v>Luc Chignell</v>
      </c>
      <c r="E40" s="23" t="s">
        <v>120</v>
      </c>
      <c r="F40" s="23" t="s">
        <v>52</v>
      </c>
      <c r="G40" s="24" t="str">
        <f>VLOOKUP(F40,teams_owners!A:B,2,FALSE)</f>
        <v>Fiona Kerry</v>
      </c>
      <c r="H40" s="23" t="s">
        <v>100</v>
      </c>
    </row>
    <row r="41" spans="1:8" ht="14.25" customHeight="1" x14ac:dyDescent="0.25">
      <c r="A41" s="23" t="s">
        <v>30</v>
      </c>
      <c r="B41" s="23" t="s">
        <v>55</v>
      </c>
      <c r="C41" s="23" t="s">
        <v>42</v>
      </c>
      <c r="D41" s="24" t="str">
        <f>VLOOKUP(C41,teams_owners!A:B,2,FALSE)</f>
        <v>Dave Bracegirdle</v>
      </c>
      <c r="E41" s="23" t="s">
        <v>152</v>
      </c>
      <c r="F41" s="23" t="s">
        <v>47</v>
      </c>
      <c r="G41" s="24" t="str">
        <f>VLOOKUP(F41,teams_owners!A:B,2,FALSE)</f>
        <v>Rob Connet</v>
      </c>
      <c r="H41" s="25">
        <v>82.68</v>
      </c>
    </row>
    <row r="42" spans="1:8" ht="14.25" customHeight="1" x14ac:dyDescent="0.25">
      <c r="A42" s="23" t="s">
        <v>30</v>
      </c>
      <c r="B42" s="23" t="s">
        <v>77</v>
      </c>
      <c r="C42" s="23" t="s">
        <v>56</v>
      </c>
      <c r="D42" s="24" t="str">
        <f>VLOOKUP(C42,teams_owners!A:B,2,FALSE)</f>
        <v>Rob Taylor</v>
      </c>
      <c r="E42" s="23" t="s">
        <v>117</v>
      </c>
      <c r="F42" s="23" t="s">
        <v>42</v>
      </c>
      <c r="G42" s="24" t="str">
        <f>VLOOKUP(F42,teams_owners!A:B,2,FALSE)</f>
        <v>Dave Bracegirdle</v>
      </c>
      <c r="H42" s="23" t="s">
        <v>91</v>
      </c>
    </row>
    <row r="43" spans="1:8" ht="14.25" customHeight="1" x14ac:dyDescent="0.25">
      <c r="A43" s="23" t="s">
        <v>30</v>
      </c>
      <c r="B43" s="23" t="s">
        <v>77</v>
      </c>
      <c r="C43" s="23" t="s">
        <v>43</v>
      </c>
      <c r="D43" s="24" t="str">
        <f>VLOOKUP(C43,teams_owners!A:B,2,FALSE)</f>
        <v>Rich Andrew</v>
      </c>
      <c r="E43" s="23" t="s">
        <v>219</v>
      </c>
      <c r="F43" s="23" t="s">
        <v>68</v>
      </c>
      <c r="G43" s="24" t="str">
        <f>VLOOKUP(F43,teams_owners!A:B,2,FALSE)</f>
        <v>Adam Wilko</v>
      </c>
      <c r="H43" s="23" t="s">
        <v>132</v>
      </c>
    </row>
    <row r="44" spans="1:8" ht="14.25" customHeight="1" x14ac:dyDescent="0.25">
      <c r="A44" s="23" t="s">
        <v>30</v>
      </c>
      <c r="B44" s="23" t="s">
        <v>77</v>
      </c>
      <c r="C44" s="23" t="s">
        <v>52</v>
      </c>
      <c r="D44" s="24" t="str">
        <f>VLOOKUP(C44,teams_owners!A:B,2,FALSE)</f>
        <v>Fiona Kerry</v>
      </c>
      <c r="E44" s="23" t="s">
        <v>220</v>
      </c>
      <c r="F44" s="23" t="s">
        <v>40</v>
      </c>
      <c r="G44" s="24" t="str">
        <f>VLOOKUP(F44,teams_owners!A:B,2,FALSE)</f>
        <v>Greg Mitchell</v>
      </c>
      <c r="H44" s="23" t="s">
        <v>221</v>
      </c>
    </row>
    <row r="45" spans="1:8" ht="14.25" customHeight="1" x14ac:dyDescent="0.25">
      <c r="A45" s="23" t="s">
        <v>30</v>
      </c>
      <c r="B45" s="23" t="s">
        <v>77</v>
      </c>
      <c r="C45" s="23" t="s">
        <v>32</v>
      </c>
      <c r="D45" s="24" t="str">
        <f>VLOOKUP(C45,teams_owners!A:B,2,FALSE)</f>
        <v>Nathan</v>
      </c>
      <c r="E45" s="23" t="s">
        <v>199</v>
      </c>
      <c r="F45" s="23" t="s">
        <v>58</v>
      </c>
      <c r="G45" s="24" t="str">
        <f>VLOOKUP(F45,teams_owners!A:B,2,FALSE)</f>
        <v xml:space="preserve">Charlie Hauton </v>
      </c>
      <c r="H45" s="23" t="s">
        <v>94</v>
      </c>
    </row>
    <row r="46" spans="1:8" ht="14.25" customHeight="1" x14ac:dyDescent="0.25">
      <c r="A46" s="23" t="s">
        <v>30</v>
      </c>
      <c r="B46" s="23" t="s">
        <v>77</v>
      </c>
      <c r="C46" s="23" t="s">
        <v>47</v>
      </c>
      <c r="D46" s="24" t="str">
        <f>VLOOKUP(C46,teams_owners!A:B,2,FALSE)</f>
        <v>Rob Connet</v>
      </c>
      <c r="E46" s="23" t="s">
        <v>129</v>
      </c>
      <c r="F46" s="23" t="s">
        <v>33</v>
      </c>
      <c r="G46" s="24" t="str">
        <f>VLOOKUP(F46,teams_owners!A:B,2,FALSE)</f>
        <v>Luc Chignell</v>
      </c>
      <c r="H46" s="25">
        <v>73.5</v>
      </c>
    </row>
    <row r="47" spans="1:8" ht="14.25" customHeight="1" x14ac:dyDescent="0.25">
      <c r="A47" s="23" t="s">
        <v>30</v>
      </c>
      <c r="B47" s="23" t="s">
        <v>84</v>
      </c>
      <c r="C47" s="23" t="s">
        <v>56</v>
      </c>
      <c r="D47" s="24" t="str">
        <f>VLOOKUP(C47,teams_owners!A:B,2,FALSE)</f>
        <v>Rob Taylor</v>
      </c>
      <c r="E47" s="23" t="s">
        <v>178</v>
      </c>
      <c r="F47" s="23" t="s">
        <v>33</v>
      </c>
      <c r="G47" s="24" t="str">
        <f>VLOOKUP(F47,teams_owners!A:B,2,FALSE)</f>
        <v>Luc Chignell</v>
      </c>
      <c r="H47" s="23" t="s">
        <v>92</v>
      </c>
    </row>
    <row r="48" spans="1:8" ht="14.25" customHeight="1" x14ac:dyDescent="0.25">
      <c r="A48" s="23" t="s">
        <v>30</v>
      </c>
      <c r="B48" s="23" t="s">
        <v>84</v>
      </c>
      <c r="C48" s="23" t="s">
        <v>52</v>
      </c>
      <c r="D48" s="24" t="str">
        <f>VLOOKUP(C48,teams_owners!A:B,2,FALSE)</f>
        <v>Fiona Kerry</v>
      </c>
      <c r="E48" s="23" t="s">
        <v>102</v>
      </c>
      <c r="F48" s="23" t="s">
        <v>43</v>
      </c>
      <c r="G48" s="24" t="str">
        <f>VLOOKUP(F48,teams_owners!A:B,2,FALSE)</f>
        <v>Rich Andrew</v>
      </c>
      <c r="H48" s="23" t="s">
        <v>101</v>
      </c>
    </row>
    <row r="49" spans="1:8" ht="14.25" customHeight="1" x14ac:dyDescent="0.25">
      <c r="A49" s="23" t="s">
        <v>30</v>
      </c>
      <c r="B49" s="23" t="s">
        <v>84</v>
      </c>
      <c r="C49" s="23" t="s">
        <v>68</v>
      </c>
      <c r="D49" s="24" t="str">
        <f>VLOOKUP(C49,teams_owners!A:B,2,FALSE)</f>
        <v>Adam Wilko</v>
      </c>
      <c r="E49" s="23" t="s">
        <v>127</v>
      </c>
      <c r="F49" s="23" t="s">
        <v>32</v>
      </c>
      <c r="G49" s="24" t="str">
        <f>VLOOKUP(F49,teams_owners!A:B,2,FALSE)</f>
        <v>Nathan</v>
      </c>
      <c r="H49" s="23" t="s">
        <v>108</v>
      </c>
    </row>
    <row r="50" spans="1:8" ht="14.25" customHeight="1" x14ac:dyDescent="0.25">
      <c r="A50" s="23" t="s">
        <v>30</v>
      </c>
      <c r="B50" s="23" t="s">
        <v>84</v>
      </c>
      <c r="C50" s="23" t="s">
        <v>40</v>
      </c>
      <c r="D50" s="24" t="str">
        <f>VLOOKUP(C50,teams_owners!A:B,2,FALSE)</f>
        <v>Greg Mitchell</v>
      </c>
      <c r="E50" s="23" t="s">
        <v>173</v>
      </c>
      <c r="F50" s="23" t="s">
        <v>47</v>
      </c>
      <c r="G50" s="24" t="str">
        <f>VLOOKUP(F50,teams_owners!A:B,2,FALSE)</f>
        <v>Rob Connet</v>
      </c>
      <c r="H50" s="23" t="s">
        <v>189</v>
      </c>
    </row>
    <row r="51" spans="1:8" ht="14.25" customHeight="1" x14ac:dyDescent="0.25">
      <c r="A51" s="23" t="s">
        <v>30</v>
      </c>
      <c r="B51" s="23" t="s">
        <v>84</v>
      </c>
      <c r="C51" s="23" t="s">
        <v>58</v>
      </c>
      <c r="D51" s="24" t="str">
        <f>VLOOKUP(C51,teams_owners!A:B,2,FALSE)</f>
        <v xml:space="preserve">Charlie Hauton </v>
      </c>
      <c r="E51" s="23" t="s">
        <v>154</v>
      </c>
      <c r="F51" s="23" t="s">
        <v>42</v>
      </c>
      <c r="G51" s="24" t="str">
        <f>VLOOKUP(F51,teams_owners!A:B,2,FALSE)</f>
        <v>Dave Bracegirdle</v>
      </c>
      <c r="H51" s="25">
        <v>124.52</v>
      </c>
    </row>
    <row r="52" spans="1:8" ht="14.25" customHeight="1" x14ac:dyDescent="0.25">
      <c r="A52" s="23" t="s">
        <v>30</v>
      </c>
      <c r="B52" s="23" t="s">
        <v>39</v>
      </c>
      <c r="C52" s="23" t="s">
        <v>56</v>
      </c>
      <c r="D52" s="24" t="str">
        <f>VLOOKUP(C52,teams_owners!A:B,2,FALSE)</f>
        <v>Rob Taylor</v>
      </c>
      <c r="E52" s="23" t="s">
        <v>223</v>
      </c>
      <c r="F52" s="23" t="s">
        <v>40</v>
      </c>
      <c r="G52" s="24" t="str">
        <f>VLOOKUP(F52,teams_owners!A:B,2,FALSE)</f>
        <v>Greg Mitchell</v>
      </c>
      <c r="H52" s="23" t="s">
        <v>209</v>
      </c>
    </row>
    <row r="53" spans="1:8" ht="14.25" customHeight="1" x14ac:dyDescent="0.25">
      <c r="A53" s="23" t="s">
        <v>30</v>
      </c>
      <c r="B53" s="23" t="s">
        <v>39</v>
      </c>
      <c r="C53" s="23" t="s">
        <v>43</v>
      </c>
      <c r="D53" s="24" t="str">
        <f>VLOOKUP(C53,teams_owners!A:B,2,FALSE)</f>
        <v>Rich Andrew</v>
      </c>
      <c r="E53" s="23" t="s">
        <v>176</v>
      </c>
      <c r="F53" s="23" t="s">
        <v>32</v>
      </c>
      <c r="G53" s="24" t="str">
        <f>VLOOKUP(F53,teams_owners!A:B,2,FALSE)</f>
        <v>Nathan</v>
      </c>
      <c r="H53" s="23" t="s">
        <v>189</v>
      </c>
    </row>
    <row r="54" spans="1:8" ht="14.25" customHeight="1" x14ac:dyDescent="0.25">
      <c r="A54" s="23" t="s">
        <v>30</v>
      </c>
      <c r="B54" s="23" t="s">
        <v>39</v>
      </c>
      <c r="C54" s="23" t="s">
        <v>47</v>
      </c>
      <c r="D54" s="24" t="str">
        <f>VLOOKUP(C54,teams_owners!A:B,2,FALSE)</f>
        <v>Rob Connet</v>
      </c>
      <c r="E54" s="23" t="s">
        <v>156</v>
      </c>
      <c r="F54" s="23" t="s">
        <v>52</v>
      </c>
      <c r="G54" s="24" t="str">
        <f>VLOOKUP(F54,teams_owners!A:B,2,FALSE)</f>
        <v>Fiona Kerry</v>
      </c>
      <c r="H54" s="23" t="s">
        <v>145</v>
      </c>
    </row>
    <row r="55" spans="1:8" ht="14.25" customHeight="1" x14ac:dyDescent="0.25">
      <c r="A55" s="23" t="s">
        <v>30</v>
      </c>
      <c r="B55" s="23" t="s">
        <v>39</v>
      </c>
      <c r="C55" s="23" t="s">
        <v>42</v>
      </c>
      <c r="D55" s="24" t="str">
        <f>VLOOKUP(C55,teams_owners!A:B,2,FALSE)</f>
        <v>Dave Bracegirdle</v>
      </c>
      <c r="E55" s="23" t="s">
        <v>104</v>
      </c>
      <c r="F55" s="23" t="s">
        <v>68</v>
      </c>
      <c r="G55" s="24" t="str">
        <f>VLOOKUP(F55,teams_owners!A:B,2,FALSE)</f>
        <v>Adam Wilko</v>
      </c>
      <c r="H55" s="23" t="s">
        <v>188</v>
      </c>
    </row>
    <row r="56" spans="1:8" ht="14.25" customHeight="1" x14ac:dyDescent="0.25">
      <c r="A56" s="23" t="s">
        <v>30</v>
      </c>
      <c r="B56" s="23" t="s">
        <v>39</v>
      </c>
      <c r="C56" s="23" t="s">
        <v>33</v>
      </c>
      <c r="D56" s="24" t="str">
        <f>VLOOKUP(C56,teams_owners!A:B,2,FALSE)</f>
        <v>Luc Chignell</v>
      </c>
      <c r="E56" s="23" t="s">
        <v>224</v>
      </c>
      <c r="F56" s="23" t="s">
        <v>58</v>
      </c>
      <c r="G56" s="24" t="str">
        <f>VLOOKUP(F56,teams_owners!A:B,2,FALSE)</f>
        <v xml:space="preserve">Charlie Hauton </v>
      </c>
      <c r="H56" s="25">
        <v>93.28</v>
      </c>
    </row>
    <row r="57" spans="1:8" ht="14.25" customHeight="1" x14ac:dyDescent="0.25">
      <c r="A57" s="23" t="s">
        <v>30</v>
      </c>
      <c r="B57" s="23" t="s">
        <v>62</v>
      </c>
      <c r="C57" s="23" t="s">
        <v>56</v>
      </c>
      <c r="D57" s="24" t="str">
        <f>VLOOKUP(C57,teams_owners!A:B,2,FALSE)</f>
        <v>Rob Taylor</v>
      </c>
      <c r="E57" s="23" t="s">
        <v>74</v>
      </c>
      <c r="F57" s="23" t="s">
        <v>52</v>
      </c>
      <c r="G57" s="24" t="str">
        <f>VLOOKUP(F57,teams_owners!A:B,2,FALSE)</f>
        <v>Fiona Kerry</v>
      </c>
      <c r="H57" s="23" t="s">
        <v>142</v>
      </c>
    </row>
    <row r="58" spans="1:8" ht="14.25" customHeight="1" x14ac:dyDescent="0.25">
      <c r="A58" s="23" t="s">
        <v>30</v>
      </c>
      <c r="B58" s="23" t="s">
        <v>62</v>
      </c>
      <c r="C58" s="23" t="s">
        <v>47</v>
      </c>
      <c r="D58" s="24" t="str">
        <f>VLOOKUP(C58,teams_owners!A:B,2,FALSE)</f>
        <v>Rob Connet</v>
      </c>
      <c r="E58" s="23" t="s">
        <v>222</v>
      </c>
      <c r="F58" s="23" t="s">
        <v>43</v>
      </c>
      <c r="G58" s="24" t="str">
        <f>VLOOKUP(F58,teams_owners!A:B,2,FALSE)</f>
        <v>Rich Andrew</v>
      </c>
      <c r="H58" s="23" t="s">
        <v>225</v>
      </c>
    </row>
    <row r="59" spans="1:8" ht="14.25" customHeight="1" x14ac:dyDescent="0.25">
      <c r="A59" s="23" t="s">
        <v>30</v>
      </c>
      <c r="B59" s="23" t="s">
        <v>62</v>
      </c>
      <c r="C59" s="23" t="s">
        <v>32</v>
      </c>
      <c r="D59" s="24" t="str">
        <f>VLOOKUP(C59,teams_owners!A:B,2,FALSE)</f>
        <v>Nathan</v>
      </c>
      <c r="E59" s="23" t="s">
        <v>170</v>
      </c>
      <c r="F59" s="23" t="s">
        <v>42</v>
      </c>
      <c r="G59" s="24" t="str">
        <f>VLOOKUP(F59,teams_owners!A:B,2,FALSE)</f>
        <v>Dave Bracegirdle</v>
      </c>
      <c r="H59" s="23" t="s">
        <v>171</v>
      </c>
    </row>
    <row r="60" spans="1:8" ht="14.25" customHeight="1" x14ac:dyDescent="0.25">
      <c r="A60" s="23" t="s">
        <v>30</v>
      </c>
      <c r="B60" s="23" t="s">
        <v>62</v>
      </c>
      <c r="C60" s="23" t="s">
        <v>68</v>
      </c>
      <c r="D60" s="24" t="str">
        <f>VLOOKUP(C60,teams_owners!A:B,2,FALSE)</f>
        <v>Adam Wilko</v>
      </c>
      <c r="E60" s="23" t="s">
        <v>105</v>
      </c>
      <c r="F60" s="23" t="s">
        <v>33</v>
      </c>
      <c r="G60" s="24" t="str">
        <f>VLOOKUP(F60,teams_owners!A:B,2,FALSE)</f>
        <v>Luc Chignell</v>
      </c>
      <c r="H60" s="23" t="s">
        <v>155</v>
      </c>
    </row>
    <row r="61" spans="1:8" ht="14.25" customHeight="1" x14ac:dyDescent="0.25">
      <c r="A61" s="23" t="s">
        <v>30</v>
      </c>
      <c r="B61" s="23" t="s">
        <v>62</v>
      </c>
      <c r="C61" s="23" t="s">
        <v>40</v>
      </c>
      <c r="D61" s="24" t="str">
        <f>VLOOKUP(C61,teams_owners!A:B,2,FALSE)</f>
        <v>Greg Mitchell</v>
      </c>
      <c r="E61" s="23" t="s">
        <v>190</v>
      </c>
      <c r="F61" s="23" t="s">
        <v>58</v>
      </c>
      <c r="G61" s="24" t="str">
        <f>VLOOKUP(F61,teams_owners!A:B,2,FALSE)</f>
        <v xml:space="preserve">Charlie Hauton </v>
      </c>
      <c r="H61" s="25">
        <v>119.28</v>
      </c>
    </row>
    <row r="62" spans="1:8" ht="14.25" customHeight="1" x14ac:dyDescent="0.25">
      <c r="A62" s="23" t="s">
        <v>30</v>
      </c>
      <c r="B62" s="23" t="s">
        <v>70</v>
      </c>
      <c r="C62" s="23" t="s">
        <v>56</v>
      </c>
      <c r="D62" s="24" t="str">
        <f>VLOOKUP(C62,teams_owners!A:B,2,FALSE)</f>
        <v>Rob Taylor</v>
      </c>
      <c r="E62" s="23" t="s">
        <v>172</v>
      </c>
      <c r="F62" s="23" t="s">
        <v>47</v>
      </c>
      <c r="G62" s="24" t="str">
        <f>VLOOKUP(F62,teams_owners!A:B,2,FALSE)</f>
        <v>Rob Connet</v>
      </c>
      <c r="H62" s="23" t="s">
        <v>113</v>
      </c>
    </row>
    <row r="63" spans="1:8" ht="14.25" customHeight="1" x14ac:dyDescent="0.25">
      <c r="A63" s="23" t="s">
        <v>30</v>
      </c>
      <c r="B63" s="23" t="s">
        <v>70</v>
      </c>
      <c r="C63" s="23" t="s">
        <v>43</v>
      </c>
      <c r="D63" s="24" t="str">
        <f>VLOOKUP(C63,teams_owners!A:B,2,FALSE)</f>
        <v>Rich Andrew</v>
      </c>
      <c r="E63" s="23" t="s">
        <v>167</v>
      </c>
      <c r="F63" s="23" t="s">
        <v>42</v>
      </c>
      <c r="G63" s="24" t="str">
        <f>VLOOKUP(F63,teams_owners!A:B,2,FALSE)</f>
        <v>Dave Bracegirdle</v>
      </c>
      <c r="H63" s="23" t="s">
        <v>168</v>
      </c>
    </row>
    <row r="64" spans="1:8" ht="14.25" customHeight="1" x14ac:dyDescent="0.25">
      <c r="A64" s="23" t="s">
        <v>30</v>
      </c>
      <c r="B64" s="23" t="s">
        <v>70</v>
      </c>
      <c r="C64" s="23" t="s">
        <v>33</v>
      </c>
      <c r="D64" s="24" t="str">
        <f>VLOOKUP(C64,teams_owners!A:B,2,FALSE)</f>
        <v>Luc Chignell</v>
      </c>
      <c r="E64" s="23" t="s">
        <v>226</v>
      </c>
      <c r="F64" s="23" t="s">
        <v>32</v>
      </c>
      <c r="G64" s="24" t="str">
        <f>VLOOKUP(F64,teams_owners!A:B,2,FALSE)</f>
        <v>Nathan</v>
      </c>
      <c r="H64" s="23" t="s">
        <v>123</v>
      </c>
    </row>
    <row r="65" spans="1:8" ht="14.25" customHeight="1" x14ac:dyDescent="0.25">
      <c r="A65" s="23" t="s">
        <v>30</v>
      </c>
      <c r="B65" s="23" t="s">
        <v>70</v>
      </c>
      <c r="C65" s="23" t="s">
        <v>58</v>
      </c>
      <c r="D65" s="24" t="str">
        <f>VLOOKUP(C65,teams_owners!A:B,2,FALSE)</f>
        <v xml:space="preserve">Charlie Hauton </v>
      </c>
      <c r="E65" s="23" t="s">
        <v>191</v>
      </c>
      <c r="F65" s="23" t="s">
        <v>52</v>
      </c>
      <c r="G65" s="24" t="str">
        <f>VLOOKUP(F65,teams_owners!A:B,2,FALSE)</f>
        <v>Fiona Kerry</v>
      </c>
      <c r="H65" s="23" t="s">
        <v>192</v>
      </c>
    </row>
    <row r="66" spans="1:8" ht="14.25" customHeight="1" x14ac:dyDescent="0.25">
      <c r="A66" s="23" t="s">
        <v>30</v>
      </c>
      <c r="B66" s="23" t="s">
        <v>70</v>
      </c>
      <c r="C66" s="23" t="s">
        <v>40</v>
      </c>
      <c r="D66" s="24" t="str">
        <f>VLOOKUP(C66,teams_owners!A:B,2,FALSE)</f>
        <v>Greg Mitchell</v>
      </c>
      <c r="E66" s="23" t="s">
        <v>128</v>
      </c>
      <c r="F66" s="23" t="s">
        <v>68</v>
      </c>
      <c r="G66" s="24" t="str">
        <f>VLOOKUP(F66,teams_owners!A:B,2,FALSE)</f>
        <v>Adam Wilko</v>
      </c>
      <c r="H66" s="25">
        <v>73.319999999999993</v>
      </c>
    </row>
    <row r="67" spans="1:8" ht="14.25" customHeight="1" x14ac:dyDescent="0.25">
      <c r="A67" s="23" t="s">
        <v>30</v>
      </c>
      <c r="B67" s="23" t="s">
        <v>85</v>
      </c>
      <c r="C67" s="23" t="s">
        <v>56</v>
      </c>
      <c r="D67" s="24" t="str">
        <f>VLOOKUP(C67,teams_owners!A:B,2,FALSE)</f>
        <v>Rob Taylor</v>
      </c>
      <c r="E67" s="23" t="s">
        <v>114</v>
      </c>
      <c r="F67" s="23" t="s">
        <v>43</v>
      </c>
      <c r="G67" s="24" t="str">
        <f>VLOOKUP(F67,teams_owners!A:B,2,FALSE)</f>
        <v>Rich Andrew</v>
      </c>
      <c r="H67" s="23" t="s">
        <v>160</v>
      </c>
    </row>
    <row r="68" spans="1:8" ht="14.25" customHeight="1" x14ac:dyDescent="0.25">
      <c r="A68" s="23" t="s">
        <v>30</v>
      </c>
      <c r="B68" s="23" t="s">
        <v>85</v>
      </c>
      <c r="C68" s="23" t="s">
        <v>42</v>
      </c>
      <c r="D68" s="24" t="str">
        <f>VLOOKUP(C68,teams_owners!A:B,2,FALSE)</f>
        <v>Dave Bracegirdle</v>
      </c>
      <c r="E68" s="23" t="s">
        <v>196</v>
      </c>
      <c r="F68" s="23" t="s">
        <v>33</v>
      </c>
      <c r="G68" s="24" t="str">
        <f>VLOOKUP(F68,teams_owners!A:B,2,FALSE)</f>
        <v>Luc Chignell</v>
      </c>
      <c r="H68" s="23" t="s">
        <v>197</v>
      </c>
    </row>
    <row r="69" spans="1:8" ht="14.25" customHeight="1" x14ac:dyDescent="0.25">
      <c r="A69" s="23" t="s">
        <v>30</v>
      </c>
      <c r="B69" s="23" t="s">
        <v>85</v>
      </c>
      <c r="C69" s="23" t="s">
        <v>47</v>
      </c>
      <c r="D69" s="24" t="str">
        <f>VLOOKUP(C69,teams_owners!A:B,2,FALSE)</f>
        <v>Rob Connet</v>
      </c>
      <c r="E69" s="23" t="s">
        <v>112</v>
      </c>
      <c r="F69" s="23" t="s">
        <v>58</v>
      </c>
      <c r="G69" s="24" t="str">
        <f>VLOOKUP(F69,teams_owners!A:B,2,FALSE)</f>
        <v xml:space="preserve">Charlie Hauton </v>
      </c>
      <c r="H69" s="23" t="s">
        <v>111</v>
      </c>
    </row>
    <row r="70" spans="1:8" ht="14.25" customHeight="1" x14ac:dyDescent="0.25">
      <c r="A70" s="23" t="s">
        <v>30</v>
      </c>
      <c r="B70" s="23" t="s">
        <v>85</v>
      </c>
      <c r="C70" s="23" t="s">
        <v>32</v>
      </c>
      <c r="D70" s="24" t="str">
        <f>VLOOKUP(C70,teams_owners!A:B,2,FALSE)</f>
        <v>Nathan</v>
      </c>
      <c r="E70" s="23" t="s">
        <v>175</v>
      </c>
      <c r="F70" s="23" t="s">
        <v>40</v>
      </c>
      <c r="G70" s="24" t="str">
        <f>VLOOKUP(F70,teams_owners!A:B,2,FALSE)</f>
        <v>Greg Mitchell</v>
      </c>
      <c r="H70" s="23" t="s">
        <v>174</v>
      </c>
    </row>
    <row r="71" spans="1:8" ht="14.25" customHeight="1" x14ac:dyDescent="0.25">
      <c r="A71" s="23" t="s">
        <v>30</v>
      </c>
      <c r="B71" s="23" t="s">
        <v>85</v>
      </c>
      <c r="C71" s="23" t="s">
        <v>52</v>
      </c>
      <c r="D71" s="24" t="str">
        <f>VLOOKUP(C71,teams_owners!A:B,2,FALSE)</f>
        <v>Fiona Kerry</v>
      </c>
      <c r="E71" s="23" t="s">
        <v>90</v>
      </c>
      <c r="F71" s="23" t="s">
        <v>68</v>
      </c>
      <c r="G71" s="24" t="str">
        <f>VLOOKUP(F71,teams_owners!A:B,2,FALSE)</f>
        <v>Adam Wilko</v>
      </c>
      <c r="H71" s="25">
        <v>59.72</v>
      </c>
    </row>
    <row r="72" spans="1:8" ht="14.25" customHeight="1" x14ac:dyDescent="0.25">
      <c r="A72" s="23" t="s">
        <v>30</v>
      </c>
      <c r="B72" s="23" t="s">
        <v>75</v>
      </c>
      <c r="C72" s="23" t="s">
        <v>56</v>
      </c>
      <c r="D72" s="24" t="str">
        <f>VLOOKUP(C72,teams_owners!A:B,2,FALSE)</f>
        <v>Rob Taylor</v>
      </c>
      <c r="E72" s="23" t="s">
        <v>140</v>
      </c>
      <c r="F72" s="23" t="s">
        <v>58</v>
      </c>
      <c r="G72" s="24" t="str">
        <f>VLOOKUP(F72,teams_owners!A:B,2,FALSE)</f>
        <v xml:space="preserve">Charlie Hauton </v>
      </c>
      <c r="H72" s="23" t="s">
        <v>139</v>
      </c>
    </row>
    <row r="73" spans="1:8" ht="14.25" customHeight="1" x14ac:dyDescent="0.25">
      <c r="A73" s="23" t="s">
        <v>30</v>
      </c>
      <c r="B73" s="23" t="s">
        <v>75</v>
      </c>
      <c r="C73" s="23" t="s">
        <v>43</v>
      </c>
      <c r="D73" s="24" t="str">
        <f>VLOOKUP(C73,teams_owners!A:B,2,FALSE)</f>
        <v>Rich Andrew</v>
      </c>
      <c r="E73" s="23" t="s">
        <v>143</v>
      </c>
      <c r="F73" s="23" t="s">
        <v>33</v>
      </c>
      <c r="G73" s="24" t="str">
        <f>VLOOKUP(F73,teams_owners!A:B,2,FALSE)</f>
        <v>Luc Chignell</v>
      </c>
      <c r="H73" s="23" t="s">
        <v>144</v>
      </c>
    </row>
    <row r="74" spans="1:8" ht="14.25" customHeight="1" x14ac:dyDescent="0.25">
      <c r="A74" s="23" t="s">
        <v>30</v>
      </c>
      <c r="B74" s="23" t="s">
        <v>75</v>
      </c>
      <c r="C74" s="23" t="s">
        <v>40</v>
      </c>
      <c r="D74" s="24" t="str">
        <f>VLOOKUP(C74,teams_owners!A:B,2,FALSE)</f>
        <v>Greg Mitchell</v>
      </c>
      <c r="E74" s="23" t="s">
        <v>99</v>
      </c>
      <c r="F74" s="23" t="s">
        <v>42</v>
      </c>
      <c r="G74" s="24" t="str">
        <f>VLOOKUP(F74,teams_owners!A:B,2,FALSE)</f>
        <v>Dave Bracegirdle</v>
      </c>
      <c r="H74" s="23" t="s">
        <v>177</v>
      </c>
    </row>
    <row r="75" spans="1:8" ht="14.25" customHeight="1" x14ac:dyDescent="0.25">
      <c r="A75" s="23" t="s">
        <v>30</v>
      </c>
      <c r="B75" s="23" t="s">
        <v>75</v>
      </c>
      <c r="C75" s="23" t="s">
        <v>68</v>
      </c>
      <c r="D75" s="24" t="str">
        <f>VLOOKUP(C75,teams_owners!A:B,2,FALSE)</f>
        <v>Adam Wilko</v>
      </c>
      <c r="E75" s="23" t="s">
        <v>122</v>
      </c>
      <c r="F75" s="23" t="s">
        <v>47</v>
      </c>
      <c r="G75" s="24" t="str">
        <f>VLOOKUP(F75,teams_owners!A:B,2,FALSE)</f>
        <v>Rob Connet</v>
      </c>
      <c r="H75" s="23" t="s">
        <v>216</v>
      </c>
    </row>
    <row r="76" spans="1:8" ht="14.25" customHeight="1" x14ac:dyDescent="0.25">
      <c r="A76" s="23" t="s">
        <v>30</v>
      </c>
      <c r="B76" s="23" t="s">
        <v>75</v>
      </c>
      <c r="C76" s="23" t="s">
        <v>52</v>
      </c>
      <c r="D76" s="24" t="str">
        <f>VLOOKUP(C76,teams_owners!A:B,2,FALSE)</f>
        <v>Fiona Kerry</v>
      </c>
      <c r="E76" s="23" t="s">
        <v>227</v>
      </c>
      <c r="F76" s="23" t="s">
        <v>32</v>
      </c>
      <c r="G76" s="24" t="str">
        <f>VLOOKUP(F76,teams_owners!A:B,2,FALSE)</f>
        <v>Nathan</v>
      </c>
      <c r="H76" s="25">
        <v>91.48</v>
      </c>
    </row>
    <row r="77" spans="1:8" ht="14.25" customHeight="1" x14ac:dyDescent="0.25">
      <c r="A77" s="23" t="s">
        <v>30</v>
      </c>
      <c r="B77" s="23" t="s">
        <v>31</v>
      </c>
      <c r="C77" s="23" t="s">
        <v>33</v>
      </c>
      <c r="D77" s="24" t="str">
        <f>VLOOKUP(C77,teams_owners!A:B,2,FALSE)</f>
        <v>Luc Chignell</v>
      </c>
      <c r="E77" s="23" t="s">
        <v>34</v>
      </c>
      <c r="F77" s="23" t="s">
        <v>32</v>
      </c>
      <c r="G77" s="24" t="str">
        <f>VLOOKUP(F77,teams_owners!A:B,2,FALSE)</f>
        <v>Nathan</v>
      </c>
      <c r="H77" s="25">
        <v>40.6</v>
      </c>
    </row>
    <row r="78" spans="1:8" ht="14.25" customHeight="1" x14ac:dyDescent="0.25">
      <c r="A78" s="23" t="s">
        <v>30</v>
      </c>
      <c r="B78" s="23" t="s">
        <v>81</v>
      </c>
      <c r="C78" s="23" t="s">
        <v>56</v>
      </c>
      <c r="D78" s="24" t="str">
        <f>VLOOKUP(C78,teams_owners!A:B,2,FALSE)</f>
        <v>Rob Taylor</v>
      </c>
      <c r="E78" s="23" t="s">
        <v>149</v>
      </c>
      <c r="F78" s="23" t="s">
        <v>43</v>
      </c>
      <c r="G78" s="24" t="str">
        <f>VLOOKUP(F78,teams_owners!A:B,2,FALSE)</f>
        <v>Rich Andrew</v>
      </c>
      <c r="H78" s="23" t="s">
        <v>96</v>
      </c>
    </row>
    <row r="79" spans="1:8" ht="14.25" customHeight="1" x14ac:dyDescent="0.25">
      <c r="A79" s="23" t="s">
        <v>30</v>
      </c>
      <c r="B79" s="23" t="s">
        <v>20</v>
      </c>
      <c r="C79" s="23" t="s">
        <v>52</v>
      </c>
      <c r="D79" s="24" t="str">
        <f>VLOOKUP(C79,teams_owners!A:B,2,FALSE)</f>
        <v>Fiona Kerry</v>
      </c>
      <c r="E79" s="23" t="s">
        <v>133</v>
      </c>
      <c r="F79" s="23" t="s">
        <v>68</v>
      </c>
      <c r="G79" s="24" t="str">
        <f>VLOOKUP(F79,teams_owners!A:B,2,FALSE)</f>
        <v>Adam Wilko</v>
      </c>
      <c r="H79" s="23" t="s">
        <v>159</v>
      </c>
    </row>
    <row r="80" spans="1:8" ht="14.25" customHeight="1" x14ac:dyDescent="0.25">
      <c r="A80" s="23" t="s">
        <v>30</v>
      </c>
      <c r="B80" s="23" t="s">
        <v>49</v>
      </c>
      <c r="C80" s="23" t="s">
        <v>56</v>
      </c>
      <c r="D80" s="24" t="str">
        <f>VLOOKUP(C80,teams_owners!A:B,2,FALSE)</f>
        <v>Rob Taylor</v>
      </c>
      <c r="E80" s="23" t="s">
        <v>121</v>
      </c>
      <c r="F80" s="23" t="s">
        <v>52</v>
      </c>
      <c r="G80" s="24" t="str">
        <f>VLOOKUP(F80,teams_owners!A:B,2,FALSE)</f>
        <v>Fiona Kerry</v>
      </c>
      <c r="H80" s="23" t="s">
        <v>214</v>
      </c>
    </row>
    <row r="81" spans="1:8" ht="14.25" customHeight="1" x14ac:dyDescent="0.25">
      <c r="A81" s="23" t="s">
        <v>30</v>
      </c>
      <c r="B81" s="23" t="s">
        <v>49</v>
      </c>
      <c r="C81" s="23" t="s">
        <v>68</v>
      </c>
      <c r="D81" s="24" t="str">
        <f>VLOOKUP(C81,teams_owners!A:B,2,FALSE)</f>
        <v>Adam Wilko</v>
      </c>
      <c r="E81" s="23" t="s">
        <v>193</v>
      </c>
      <c r="F81" s="23" t="s">
        <v>43</v>
      </c>
      <c r="G81" s="24" t="str">
        <f>VLOOKUP(F81,teams_owners!A:B,2,FALSE)</f>
        <v>Rich Andrew</v>
      </c>
      <c r="H81" s="23" t="s">
        <v>118</v>
      </c>
    </row>
    <row r="82" spans="1:8" ht="14.25" customHeight="1" x14ac:dyDescent="0.25">
      <c r="A82" s="23" t="s">
        <v>30</v>
      </c>
      <c r="B82" s="23" t="s">
        <v>35</v>
      </c>
      <c r="C82" s="23" t="s">
        <v>58</v>
      </c>
      <c r="D82" s="24" t="str">
        <f>VLOOKUP(C82,teams_owners!A:B,2,FALSE)</f>
        <v xml:space="preserve">Charlie Hauton </v>
      </c>
      <c r="E82" s="23" t="s">
        <v>59</v>
      </c>
      <c r="F82" s="23" t="s">
        <v>40</v>
      </c>
      <c r="G82" s="24" t="str">
        <f>VLOOKUP(F82,teams_owners!A:B,2,FALSE)</f>
        <v>Greg Mitchell</v>
      </c>
      <c r="H82" s="23" t="s">
        <v>60</v>
      </c>
    </row>
    <row r="83" spans="1:8" ht="14.25" customHeight="1" x14ac:dyDescent="0.25">
      <c r="A83" s="23" t="s">
        <v>30</v>
      </c>
      <c r="B83" s="23" t="s">
        <v>89</v>
      </c>
      <c r="C83" s="23" t="s">
        <v>58</v>
      </c>
      <c r="D83" s="24" t="str">
        <f>VLOOKUP(C83,teams_owners!A:B,2,FALSE)</f>
        <v xml:space="preserve">Charlie Hauton </v>
      </c>
      <c r="E83" s="23" t="s">
        <v>106</v>
      </c>
      <c r="F83" s="23" t="s">
        <v>33</v>
      </c>
      <c r="G83" s="24" t="str">
        <f>VLOOKUP(F83,teams_owners!A:B,2,FALSE)</f>
        <v>Luc Chignell</v>
      </c>
      <c r="H83" s="23" t="s">
        <v>107</v>
      </c>
    </row>
    <row r="84" spans="1:8" ht="14.25" customHeight="1" x14ac:dyDescent="0.25">
      <c r="A84" s="23" t="s">
        <v>30</v>
      </c>
      <c r="B84" s="23" t="s">
        <v>89</v>
      </c>
      <c r="C84" s="23" t="s">
        <v>32</v>
      </c>
      <c r="D84" s="24" t="str">
        <f>VLOOKUP(C84,teams_owners!A:B,2,FALSE)</f>
        <v>Nathan</v>
      </c>
      <c r="E84" s="23" t="s">
        <v>163</v>
      </c>
      <c r="F84" s="23" t="s">
        <v>40</v>
      </c>
      <c r="G84" s="24" t="str">
        <f>VLOOKUP(F84,teams_owners!A:B,2,FALSE)</f>
        <v>Greg Mitchell</v>
      </c>
      <c r="H84" s="25">
        <v>104.28</v>
      </c>
    </row>
    <row r="85" spans="1:8" ht="14.25" customHeight="1" x14ac:dyDescent="0.25">
      <c r="A85" s="23" t="s">
        <v>51</v>
      </c>
      <c r="B85" s="23" t="s">
        <v>8</v>
      </c>
      <c r="C85" s="23" t="s">
        <v>56</v>
      </c>
      <c r="D85" s="24" t="str">
        <f>VLOOKUP(C85,teams_owners!A:B,2,FALSE)</f>
        <v>Rob Taylor</v>
      </c>
      <c r="E85" s="25">
        <v>85.64</v>
      </c>
      <c r="F85" s="23" t="s">
        <v>33</v>
      </c>
      <c r="G85" s="24" t="str">
        <f>VLOOKUP(F85,teams_owners!A:B,2,FALSE)</f>
        <v>Luc Chignell</v>
      </c>
      <c r="H85" s="25">
        <v>99.78</v>
      </c>
    </row>
    <row r="86" spans="1:8" ht="14.25" customHeight="1" x14ac:dyDescent="0.25">
      <c r="A86" s="23" t="s">
        <v>51</v>
      </c>
      <c r="B86" s="23" t="s">
        <v>8</v>
      </c>
      <c r="C86" s="23" t="s">
        <v>37</v>
      </c>
      <c r="D86" s="24" t="str">
        <f>VLOOKUP(C86,teams_owners!A:B,2,FALSE)</f>
        <v>Rich Andrew</v>
      </c>
      <c r="E86" s="25">
        <v>91.24</v>
      </c>
      <c r="F86" s="23" t="s">
        <v>52</v>
      </c>
      <c r="G86" s="24" t="str">
        <f>VLOOKUP(F86,teams_owners!A:B,2,FALSE)</f>
        <v>Fiona Kerry</v>
      </c>
      <c r="H86" s="25">
        <v>114.26</v>
      </c>
    </row>
    <row r="87" spans="1:8" ht="14.25" customHeight="1" x14ac:dyDescent="0.25">
      <c r="A87" s="23" t="s">
        <v>51</v>
      </c>
      <c r="B87" s="23" t="s">
        <v>8</v>
      </c>
      <c r="C87" s="23" t="s">
        <v>32</v>
      </c>
      <c r="D87" s="24" t="str">
        <f>VLOOKUP(C87,teams_owners!A:B,2,FALSE)</f>
        <v>Nathan</v>
      </c>
      <c r="E87" s="25">
        <v>97.84</v>
      </c>
      <c r="F87" s="23" t="s">
        <v>45</v>
      </c>
      <c r="G87" s="24" t="str">
        <f>VLOOKUP(F87,teams_owners!A:B,2,FALSE)</f>
        <v>Adam Wilko</v>
      </c>
      <c r="H87" s="25">
        <v>107.66</v>
      </c>
    </row>
    <row r="88" spans="1:8" ht="14.25" customHeight="1" x14ac:dyDescent="0.25">
      <c r="A88" s="23" t="s">
        <v>51</v>
      </c>
      <c r="B88" s="23" t="s">
        <v>8</v>
      </c>
      <c r="C88" s="23" t="s">
        <v>47</v>
      </c>
      <c r="D88" s="24" t="str">
        <f>VLOOKUP(C88,teams_owners!A:B,2,FALSE)</f>
        <v>Rob Connet</v>
      </c>
      <c r="E88" s="25">
        <v>121.26</v>
      </c>
      <c r="F88" s="23" t="s">
        <v>40</v>
      </c>
      <c r="G88" s="24" t="str">
        <f>VLOOKUP(F88,teams_owners!A:B,2,FALSE)</f>
        <v>Greg Mitchell</v>
      </c>
      <c r="H88" s="25">
        <v>96.44</v>
      </c>
    </row>
    <row r="89" spans="1:8" ht="14.25" customHeight="1" x14ac:dyDescent="0.25">
      <c r="A89" s="23" t="s">
        <v>51</v>
      </c>
      <c r="B89" s="23" t="s">
        <v>8</v>
      </c>
      <c r="C89" s="23" t="s">
        <v>42</v>
      </c>
      <c r="D89" s="24" t="str">
        <f>VLOOKUP(C89,teams_owners!A:B,2,FALSE)</f>
        <v>Dave Bracegirdle</v>
      </c>
      <c r="E89" s="25">
        <v>138.52000000000001</v>
      </c>
      <c r="F89" s="23" t="s">
        <v>86</v>
      </c>
      <c r="G89" s="24" t="str">
        <f>VLOOKUP(F89,teams_owners!A:B,2,FALSE)</f>
        <v xml:space="preserve">Charlie Hauton </v>
      </c>
      <c r="H89" s="25">
        <v>78.5</v>
      </c>
    </row>
    <row r="90" spans="1:8" ht="14.25" customHeight="1" x14ac:dyDescent="0.25">
      <c r="A90" s="23" t="s">
        <v>51</v>
      </c>
      <c r="B90" s="23" t="s">
        <v>6</v>
      </c>
      <c r="C90" s="23" t="s">
        <v>56</v>
      </c>
      <c r="D90" s="24" t="str">
        <f>VLOOKUP(C90,teams_owners!A:B,2,FALSE)</f>
        <v>Rob Taylor</v>
      </c>
      <c r="E90" s="25">
        <v>94.4</v>
      </c>
      <c r="F90" s="23" t="s">
        <v>40</v>
      </c>
      <c r="G90" s="24" t="str">
        <f>VLOOKUP(F90,teams_owners!A:B,2,FALSE)</f>
        <v>Greg Mitchell</v>
      </c>
      <c r="H90" s="25">
        <v>84.36</v>
      </c>
    </row>
    <row r="91" spans="1:8" ht="14.25" customHeight="1" x14ac:dyDescent="0.25">
      <c r="A91" s="23" t="s">
        <v>51</v>
      </c>
      <c r="B91" s="23" t="s">
        <v>6</v>
      </c>
      <c r="C91" s="23" t="s">
        <v>32</v>
      </c>
      <c r="D91" s="24" t="str">
        <f>VLOOKUP(C91,teams_owners!A:B,2,FALSE)</f>
        <v>Nathan</v>
      </c>
      <c r="E91" s="25">
        <v>89.18</v>
      </c>
      <c r="F91" s="23" t="s">
        <v>37</v>
      </c>
      <c r="G91" s="24" t="str">
        <f>VLOOKUP(F91,teams_owners!A:B,2,FALSE)</f>
        <v>Rich Andrew</v>
      </c>
      <c r="H91" s="25">
        <v>111.6</v>
      </c>
    </row>
    <row r="92" spans="1:8" ht="14.25" customHeight="1" x14ac:dyDescent="0.25">
      <c r="A92" s="23" t="s">
        <v>51</v>
      </c>
      <c r="B92" s="23" t="s">
        <v>6</v>
      </c>
      <c r="C92" s="23" t="s">
        <v>52</v>
      </c>
      <c r="D92" s="24" t="str">
        <f>VLOOKUP(C92,teams_owners!A:B,2,FALSE)</f>
        <v>Fiona Kerry</v>
      </c>
      <c r="E92" s="25">
        <v>108.52</v>
      </c>
      <c r="F92" s="23" t="s">
        <v>47</v>
      </c>
      <c r="G92" s="24" t="str">
        <f>VLOOKUP(F92,teams_owners!A:B,2,FALSE)</f>
        <v>Rob Connet</v>
      </c>
      <c r="H92" s="25">
        <v>89.94</v>
      </c>
    </row>
    <row r="93" spans="1:8" ht="14.25" customHeight="1" x14ac:dyDescent="0.25">
      <c r="A93" s="23" t="s">
        <v>51</v>
      </c>
      <c r="B93" s="23" t="s">
        <v>6</v>
      </c>
      <c r="C93" s="23" t="s">
        <v>45</v>
      </c>
      <c r="D93" s="24" t="str">
        <f>VLOOKUP(C93,teams_owners!A:B,2,FALSE)</f>
        <v>Adam Wilko</v>
      </c>
      <c r="E93" s="25">
        <v>82.84</v>
      </c>
      <c r="F93" s="23" t="s">
        <v>42</v>
      </c>
      <c r="G93" s="24" t="str">
        <f>VLOOKUP(F93,teams_owners!A:B,2,FALSE)</f>
        <v>Dave Bracegirdle</v>
      </c>
      <c r="H93" s="25">
        <v>86.04</v>
      </c>
    </row>
    <row r="94" spans="1:8" ht="14.25" customHeight="1" x14ac:dyDescent="0.25">
      <c r="A94" s="23" t="s">
        <v>51</v>
      </c>
      <c r="B94" s="23" t="s">
        <v>6</v>
      </c>
      <c r="C94" s="23" t="s">
        <v>86</v>
      </c>
      <c r="D94" s="24" t="str">
        <f>VLOOKUP(C94,teams_owners!A:B,2,FALSE)</f>
        <v xml:space="preserve">Charlie Hauton </v>
      </c>
      <c r="E94" s="25">
        <v>109.2</v>
      </c>
      <c r="F94" s="23" t="s">
        <v>33</v>
      </c>
      <c r="G94" s="24" t="str">
        <f>VLOOKUP(F94,teams_owners!A:B,2,FALSE)</f>
        <v>Luc Chignell</v>
      </c>
      <c r="H94" s="25">
        <v>90.46</v>
      </c>
    </row>
    <row r="95" spans="1:8" ht="14.25" customHeight="1" x14ac:dyDescent="0.25">
      <c r="A95" s="23" t="s">
        <v>51</v>
      </c>
      <c r="B95" s="23" t="s">
        <v>57</v>
      </c>
      <c r="C95" s="23" t="s">
        <v>56</v>
      </c>
      <c r="D95" s="24" t="str">
        <f>VLOOKUP(C95,teams_owners!A:B,2,FALSE)</f>
        <v>Rob Taylor</v>
      </c>
      <c r="E95" s="25">
        <v>86.1</v>
      </c>
      <c r="F95" s="23" t="s">
        <v>52</v>
      </c>
      <c r="G95" s="24" t="str">
        <f>VLOOKUP(F95,teams_owners!A:B,2,FALSE)</f>
        <v>Fiona Kerry</v>
      </c>
      <c r="H95" s="25">
        <v>116.96</v>
      </c>
    </row>
    <row r="96" spans="1:8" ht="14.25" customHeight="1" x14ac:dyDescent="0.25">
      <c r="A96" s="23" t="s">
        <v>51</v>
      </c>
      <c r="B96" s="23" t="s">
        <v>57</v>
      </c>
      <c r="C96" s="23" t="s">
        <v>37</v>
      </c>
      <c r="D96" s="24" t="str">
        <f>VLOOKUP(C96,teams_owners!A:B,2,FALSE)</f>
        <v>Rich Andrew</v>
      </c>
      <c r="E96" s="25">
        <v>80.400000000000006</v>
      </c>
      <c r="F96" s="23" t="s">
        <v>47</v>
      </c>
      <c r="G96" s="24" t="str">
        <f>VLOOKUP(F96,teams_owners!A:B,2,FALSE)</f>
        <v>Rob Connet</v>
      </c>
      <c r="H96" s="25">
        <v>74.540000000000006</v>
      </c>
    </row>
    <row r="97" spans="1:8" ht="14.25" customHeight="1" x14ac:dyDescent="0.25">
      <c r="A97" s="23" t="s">
        <v>51</v>
      </c>
      <c r="B97" s="23" t="s">
        <v>57</v>
      </c>
      <c r="C97" s="23" t="s">
        <v>42</v>
      </c>
      <c r="D97" s="24" t="str">
        <f>VLOOKUP(C97,teams_owners!A:B,2,FALSE)</f>
        <v>Dave Bracegirdle</v>
      </c>
      <c r="E97" s="25">
        <v>83.44</v>
      </c>
      <c r="F97" s="23" t="s">
        <v>32</v>
      </c>
      <c r="G97" s="24" t="str">
        <f>VLOOKUP(F97,teams_owners!A:B,2,FALSE)</f>
        <v>Nathan</v>
      </c>
      <c r="H97" s="25">
        <v>71</v>
      </c>
    </row>
    <row r="98" spans="1:8" ht="14.25" customHeight="1" x14ac:dyDescent="0.25">
      <c r="A98" s="23" t="s">
        <v>51</v>
      </c>
      <c r="B98" s="23" t="s">
        <v>57</v>
      </c>
      <c r="C98" s="23" t="s">
        <v>33</v>
      </c>
      <c r="D98" s="24" t="str">
        <f>VLOOKUP(C98,teams_owners!A:B,2,FALSE)</f>
        <v>Luc Chignell</v>
      </c>
      <c r="E98" s="25">
        <v>76.42</v>
      </c>
      <c r="F98" s="23" t="s">
        <v>45</v>
      </c>
      <c r="G98" s="24" t="str">
        <f>VLOOKUP(F98,teams_owners!A:B,2,FALSE)</f>
        <v>Adam Wilko</v>
      </c>
      <c r="H98" s="25">
        <v>91.84</v>
      </c>
    </row>
    <row r="99" spans="1:8" ht="14.25" customHeight="1" x14ac:dyDescent="0.25">
      <c r="A99" s="23" t="s">
        <v>51</v>
      </c>
      <c r="B99" s="23" t="s">
        <v>57</v>
      </c>
      <c r="C99" s="23" t="s">
        <v>86</v>
      </c>
      <c r="D99" s="24" t="str">
        <f>VLOOKUP(C99,teams_owners!A:B,2,FALSE)</f>
        <v xml:space="preserve">Charlie Hauton </v>
      </c>
      <c r="E99" s="25">
        <v>68.52</v>
      </c>
      <c r="F99" s="23" t="s">
        <v>40</v>
      </c>
      <c r="G99" s="24" t="str">
        <f>VLOOKUP(F99,teams_owners!A:B,2,FALSE)</f>
        <v>Greg Mitchell</v>
      </c>
      <c r="H99" s="25">
        <v>128.36000000000001</v>
      </c>
    </row>
    <row r="100" spans="1:8" ht="14.25" customHeight="1" x14ac:dyDescent="0.25">
      <c r="A100" s="23" t="s">
        <v>51</v>
      </c>
      <c r="B100" s="23" t="s">
        <v>41</v>
      </c>
      <c r="C100" s="23" t="s">
        <v>56</v>
      </c>
      <c r="D100" s="24" t="str">
        <f>VLOOKUP(C100,teams_owners!A:B,2,FALSE)</f>
        <v>Rob Taylor</v>
      </c>
      <c r="E100" s="25">
        <v>102.86</v>
      </c>
      <c r="F100" s="23" t="s">
        <v>47</v>
      </c>
      <c r="G100" s="24" t="str">
        <f>VLOOKUP(F100,teams_owners!A:B,2,FALSE)</f>
        <v>Rob Connet</v>
      </c>
      <c r="H100" s="25">
        <v>143.46</v>
      </c>
    </row>
    <row r="101" spans="1:8" ht="14.25" customHeight="1" x14ac:dyDescent="0.25">
      <c r="A101" s="23" t="s">
        <v>51</v>
      </c>
      <c r="B101" s="23" t="s">
        <v>41</v>
      </c>
      <c r="C101" s="23" t="s">
        <v>42</v>
      </c>
      <c r="D101" s="24" t="str">
        <f>VLOOKUP(C101,teams_owners!A:B,2,FALSE)</f>
        <v>Dave Bracegirdle</v>
      </c>
      <c r="E101" s="25">
        <v>82.28</v>
      </c>
      <c r="F101" s="23" t="s">
        <v>37</v>
      </c>
      <c r="G101" s="24" t="str">
        <f>VLOOKUP(F101,teams_owners!A:B,2,FALSE)</f>
        <v>Rich Andrew</v>
      </c>
      <c r="H101" s="25">
        <v>113.9</v>
      </c>
    </row>
    <row r="102" spans="1:8" ht="14.25" customHeight="1" x14ac:dyDescent="0.25">
      <c r="A102" s="23" t="s">
        <v>51</v>
      </c>
      <c r="B102" s="23" t="s">
        <v>41</v>
      </c>
      <c r="C102" s="23" t="s">
        <v>32</v>
      </c>
      <c r="D102" s="24" t="str">
        <f>VLOOKUP(C102,teams_owners!A:B,2,FALSE)</f>
        <v>Nathan</v>
      </c>
      <c r="E102" s="25">
        <v>89.42</v>
      </c>
      <c r="F102" s="23" t="s">
        <v>33</v>
      </c>
      <c r="G102" s="24" t="str">
        <f>VLOOKUP(F102,teams_owners!A:B,2,FALSE)</f>
        <v>Luc Chignell</v>
      </c>
      <c r="H102" s="25">
        <v>89.26</v>
      </c>
    </row>
    <row r="103" spans="1:8" ht="14.25" customHeight="1" x14ac:dyDescent="0.25">
      <c r="A103" s="23" t="s">
        <v>51</v>
      </c>
      <c r="B103" s="23" t="s">
        <v>41</v>
      </c>
      <c r="C103" s="23" t="s">
        <v>52</v>
      </c>
      <c r="D103" s="24" t="str">
        <f>VLOOKUP(C103,teams_owners!A:B,2,FALSE)</f>
        <v>Fiona Kerry</v>
      </c>
      <c r="E103" s="25">
        <v>112.86</v>
      </c>
      <c r="F103" s="23" t="s">
        <v>86</v>
      </c>
      <c r="G103" s="24" t="str">
        <f>VLOOKUP(F103,teams_owners!A:B,2,FALSE)</f>
        <v xml:space="preserve">Charlie Hauton </v>
      </c>
      <c r="H103" s="25">
        <v>108.26</v>
      </c>
    </row>
    <row r="104" spans="1:8" ht="14.25" customHeight="1" x14ac:dyDescent="0.25">
      <c r="A104" s="23" t="s">
        <v>51</v>
      </c>
      <c r="B104" s="23" t="s">
        <v>41</v>
      </c>
      <c r="C104" s="23" t="s">
        <v>45</v>
      </c>
      <c r="D104" s="24" t="str">
        <f>VLOOKUP(C104,teams_owners!A:B,2,FALSE)</f>
        <v>Adam Wilko</v>
      </c>
      <c r="E104" s="25">
        <v>120.9</v>
      </c>
      <c r="F104" s="23" t="s">
        <v>40</v>
      </c>
      <c r="G104" s="24" t="str">
        <f>VLOOKUP(F104,teams_owners!A:B,2,FALSE)</f>
        <v>Greg Mitchell</v>
      </c>
      <c r="H104" s="25">
        <v>137.69999999999999</v>
      </c>
    </row>
    <row r="105" spans="1:8" ht="14.25" customHeight="1" x14ac:dyDescent="0.25">
      <c r="A105" s="23" t="s">
        <v>51</v>
      </c>
      <c r="B105" s="23" t="s">
        <v>27</v>
      </c>
      <c r="C105" s="23" t="s">
        <v>56</v>
      </c>
      <c r="D105" s="24" t="str">
        <f>VLOOKUP(C105,teams_owners!A:B,2,FALSE)</f>
        <v>Rob Taylor</v>
      </c>
      <c r="E105" s="25">
        <v>104.68</v>
      </c>
      <c r="F105" s="23" t="s">
        <v>37</v>
      </c>
      <c r="G105" s="24" t="str">
        <f>VLOOKUP(F105,teams_owners!A:B,2,FALSE)</f>
        <v>Rich Andrew</v>
      </c>
      <c r="H105" s="25">
        <v>116.7</v>
      </c>
    </row>
    <row r="106" spans="1:8" ht="14.25" customHeight="1" x14ac:dyDescent="0.25">
      <c r="A106" s="23" t="s">
        <v>51</v>
      </c>
      <c r="B106" s="23" t="s">
        <v>27</v>
      </c>
      <c r="C106" s="23" t="s">
        <v>33</v>
      </c>
      <c r="D106" s="24" t="str">
        <f>VLOOKUP(C106,teams_owners!A:B,2,FALSE)</f>
        <v>Luc Chignell</v>
      </c>
      <c r="E106" s="25">
        <v>88.34</v>
      </c>
      <c r="F106" s="23" t="s">
        <v>42</v>
      </c>
      <c r="G106" s="24" t="str">
        <f>VLOOKUP(F106,teams_owners!A:B,2,FALSE)</f>
        <v>Dave Bracegirdle</v>
      </c>
      <c r="H106" s="25">
        <v>90.64</v>
      </c>
    </row>
    <row r="107" spans="1:8" ht="14.25" customHeight="1" x14ac:dyDescent="0.25">
      <c r="A107" s="23" t="s">
        <v>51</v>
      </c>
      <c r="B107" s="23" t="s">
        <v>27</v>
      </c>
      <c r="C107" s="23" t="s">
        <v>86</v>
      </c>
      <c r="D107" s="24" t="str">
        <f>VLOOKUP(C107,teams_owners!A:B,2,FALSE)</f>
        <v xml:space="preserve">Charlie Hauton </v>
      </c>
      <c r="E107" s="25">
        <v>94.2</v>
      </c>
      <c r="F107" s="23" t="s">
        <v>47</v>
      </c>
      <c r="G107" s="24" t="str">
        <f>VLOOKUP(F107,teams_owners!A:B,2,FALSE)</f>
        <v>Rob Connet</v>
      </c>
      <c r="H107" s="25">
        <v>107.32</v>
      </c>
    </row>
    <row r="108" spans="1:8" ht="14.25" customHeight="1" x14ac:dyDescent="0.25">
      <c r="A108" s="23" t="s">
        <v>51</v>
      </c>
      <c r="B108" s="23" t="s">
        <v>27</v>
      </c>
      <c r="C108" s="23" t="s">
        <v>40</v>
      </c>
      <c r="D108" s="24" t="str">
        <f>VLOOKUP(C108,teams_owners!A:B,2,FALSE)</f>
        <v>Greg Mitchell</v>
      </c>
      <c r="E108" s="25">
        <v>82.56</v>
      </c>
      <c r="F108" s="23" t="s">
        <v>32</v>
      </c>
      <c r="G108" s="24" t="str">
        <f>VLOOKUP(F108,teams_owners!A:B,2,FALSE)</f>
        <v>Nathan</v>
      </c>
      <c r="H108" s="25">
        <v>78.88</v>
      </c>
    </row>
    <row r="109" spans="1:8" ht="14.25" customHeight="1" x14ac:dyDescent="0.25">
      <c r="A109" s="23" t="s">
        <v>51</v>
      </c>
      <c r="B109" s="23" t="s">
        <v>27</v>
      </c>
      <c r="C109" s="23" t="s">
        <v>45</v>
      </c>
      <c r="D109" s="24" t="str">
        <f>VLOOKUP(C109,teams_owners!A:B,2,FALSE)</f>
        <v>Adam Wilko</v>
      </c>
      <c r="E109" s="25">
        <v>103</v>
      </c>
      <c r="F109" s="23" t="s">
        <v>52</v>
      </c>
      <c r="G109" s="24" t="str">
        <f>VLOOKUP(F109,teams_owners!A:B,2,FALSE)</f>
        <v>Fiona Kerry</v>
      </c>
      <c r="H109" s="25">
        <v>108.92</v>
      </c>
    </row>
    <row r="110" spans="1:8" ht="14.25" customHeight="1" x14ac:dyDescent="0.25">
      <c r="A110" s="23" t="s">
        <v>51</v>
      </c>
      <c r="B110" s="23" t="s">
        <v>46</v>
      </c>
      <c r="C110" s="23" t="s">
        <v>56</v>
      </c>
      <c r="D110" s="24" t="str">
        <f>VLOOKUP(C110,teams_owners!A:B,2,FALSE)</f>
        <v>Rob Taylor</v>
      </c>
      <c r="E110" s="25">
        <v>119.5</v>
      </c>
      <c r="F110" s="23" t="s">
        <v>86</v>
      </c>
      <c r="G110" s="24" t="str">
        <f>VLOOKUP(F110,teams_owners!A:B,2,FALSE)</f>
        <v xml:space="preserve">Charlie Hauton </v>
      </c>
      <c r="H110" s="25">
        <v>125.82</v>
      </c>
    </row>
    <row r="111" spans="1:8" ht="14.25" customHeight="1" x14ac:dyDescent="0.25">
      <c r="A111" s="23" t="s">
        <v>51</v>
      </c>
      <c r="B111" s="23" t="s">
        <v>46</v>
      </c>
      <c r="C111" s="23" t="s">
        <v>33</v>
      </c>
      <c r="D111" s="24" t="str">
        <f>VLOOKUP(C111,teams_owners!A:B,2,FALSE)</f>
        <v>Luc Chignell</v>
      </c>
      <c r="E111" s="25">
        <v>92.4</v>
      </c>
      <c r="F111" s="23" t="s">
        <v>37</v>
      </c>
      <c r="G111" s="24" t="str">
        <f>VLOOKUP(F111,teams_owners!A:B,2,FALSE)</f>
        <v>Rich Andrew</v>
      </c>
      <c r="H111" s="25">
        <v>86.88</v>
      </c>
    </row>
    <row r="112" spans="1:8" ht="14.25" customHeight="1" x14ac:dyDescent="0.25">
      <c r="A112" s="23" t="s">
        <v>51</v>
      </c>
      <c r="B112" s="23" t="s">
        <v>46</v>
      </c>
      <c r="C112" s="23" t="s">
        <v>42</v>
      </c>
      <c r="D112" s="24" t="str">
        <f>VLOOKUP(C112,teams_owners!A:B,2,FALSE)</f>
        <v>Dave Bracegirdle</v>
      </c>
      <c r="E112" s="25">
        <v>117.72</v>
      </c>
      <c r="F112" s="23" t="s">
        <v>40</v>
      </c>
      <c r="G112" s="24" t="str">
        <f>VLOOKUP(F112,teams_owners!A:B,2,FALSE)</f>
        <v>Greg Mitchell</v>
      </c>
      <c r="H112" s="25">
        <v>64.22</v>
      </c>
    </row>
    <row r="113" spans="1:8" ht="14.25" customHeight="1" x14ac:dyDescent="0.25">
      <c r="A113" s="23" t="s">
        <v>51</v>
      </c>
      <c r="B113" s="23" t="s">
        <v>46</v>
      </c>
      <c r="C113" s="23" t="s">
        <v>47</v>
      </c>
      <c r="D113" s="24" t="str">
        <f>VLOOKUP(C113,teams_owners!A:B,2,FALSE)</f>
        <v>Rob Connet</v>
      </c>
      <c r="E113" s="25">
        <v>154.30000000000001</v>
      </c>
      <c r="F113" s="23" t="s">
        <v>45</v>
      </c>
      <c r="G113" s="24" t="str">
        <f>VLOOKUP(F113,teams_owners!A:B,2,FALSE)</f>
        <v>Adam Wilko</v>
      </c>
      <c r="H113" s="25">
        <v>81.459999999999994</v>
      </c>
    </row>
    <row r="114" spans="1:8" ht="14.25" customHeight="1" x14ac:dyDescent="0.25">
      <c r="A114" s="23" t="s">
        <v>51</v>
      </c>
      <c r="B114" s="23" t="s">
        <v>46</v>
      </c>
      <c r="C114" s="23" t="s">
        <v>32</v>
      </c>
      <c r="D114" s="24" t="str">
        <f>VLOOKUP(C114,teams_owners!A:B,2,FALSE)</f>
        <v>Nathan</v>
      </c>
      <c r="E114" s="25">
        <v>78.5</v>
      </c>
      <c r="F114" s="23" t="s">
        <v>52</v>
      </c>
      <c r="G114" s="24" t="str">
        <f>VLOOKUP(F114,teams_owners!A:B,2,FALSE)</f>
        <v>Fiona Kerry</v>
      </c>
      <c r="H114" s="25">
        <v>132.88</v>
      </c>
    </row>
    <row r="115" spans="1:8" ht="14.25" customHeight="1" x14ac:dyDescent="0.25">
      <c r="A115" s="23" t="s">
        <v>51</v>
      </c>
      <c r="B115" s="23" t="s">
        <v>54</v>
      </c>
      <c r="C115" s="23" t="s">
        <v>56</v>
      </c>
      <c r="D115" s="24" t="str">
        <f>VLOOKUP(C115,teams_owners!A:B,2,FALSE)</f>
        <v>Rob Taylor</v>
      </c>
      <c r="E115" s="25">
        <v>81.459999999999994</v>
      </c>
      <c r="F115" s="23" t="s">
        <v>45</v>
      </c>
      <c r="G115" s="24" t="str">
        <f>VLOOKUP(F115,teams_owners!A:B,2,FALSE)</f>
        <v>Adam Wilko</v>
      </c>
      <c r="H115" s="25">
        <v>108.84</v>
      </c>
    </row>
    <row r="116" spans="1:8" ht="14.25" customHeight="1" x14ac:dyDescent="0.25">
      <c r="A116" s="23" t="s">
        <v>51</v>
      </c>
      <c r="B116" s="23" t="s">
        <v>54</v>
      </c>
      <c r="C116" s="23" t="s">
        <v>37</v>
      </c>
      <c r="D116" s="24" t="str">
        <f>VLOOKUP(C116,teams_owners!A:B,2,FALSE)</f>
        <v>Rich Andrew</v>
      </c>
      <c r="E116" s="25">
        <v>75.28</v>
      </c>
      <c r="F116" s="23" t="s">
        <v>86</v>
      </c>
      <c r="G116" s="24" t="str">
        <f>VLOOKUP(F116,teams_owners!A:B,2,FALSE)</f>
        <v xml:space="preserve">Charlie Hauton </v>
      </c>
      <c r="H116" s="25">
        <v>131.6</v>
      </c>
    </row>
    <row r="117" spans="1:8" ht="14.25" customHeight="1" x14ac:dyDescent="0.25">
      <c r="A117" s="23" t="s">
        <v>51</v>
      </c>
      <c r="B117" s="23" t="s">
        <v>54</v>
      </c>
      <c r="C117" s="23" t="s">
        <v>40</v>
      </c>
      <c r="D117" s="24" t="str">
        <f>VLOOKUP(C117,teams_owners!A:B,2,FALSE)</f>
        <v>Greg Mitchell</v>
      </c>
      <c r="E117" s="25">
        <v>140.96</v>
      </c>
      <c r="F117" s="23" t="s">
        <v>33</v>
      </c>
      <c r="G117" s="24" t="str">
        <f>VLOOKUP(F117,teams_owners!A:B,2,FALSE)</f>
        <v>Luc Chignell</v>
      </c>
      <c r="H117" s="25">
        <v>92.78</v>
      </c>
    </row>
    <row r="118" spans="1:8" ht="14.25" customHeight="1" x14ac:dyDescent="0.25">
      <c r="A118" s="23" t="s">
        <v>51</v>
      </c>
      <c r="B118" s="23" t="s">
        <v>54</v>
      </c>
      <c r="C118" s="23" t="s">
        <v>52</v>
      </c>
      <c r="D118" s="24" t="str">
        <f>VLOOKUP(C118,teams_owners!A:B,2,FALSE)</f>
        <v>Fiona Kerry</v>
      </c>
      <c r="E118" s="25">
        <v>99.92</v>
      </c>
      <c r="F118" s="23" t="s">
        <v>42</v>
      </c>
      <c r="G118" s="24" t="str">
        <f>VLOOKUP(F118,teams_owners!A:B,2,FALSE)</f>
        <v>Dave Bracegirdle</v>
      </c>
      <c r="H118" s="25">
        <v>101.44</v>
      </c>
    </row>
    <row r="119" spans="1:8" ht="14.25" customHeight="1" x14ac:dyDescent="0.25">
      <c r="A119" s="23" t="s">
        <v>51</v>
      </c>
      <c r="B119" s="23" t="s">
        <v>54</v>
      </c>
      <c r="C119" s="23" t="s">
        <v>32</v>
      </c>
      <c r="D119" s="24" t="str">
        <f>VLOOKUP(C119,teams_owners!A:B,2,FALSE)</f>
        <v>Nathan</v>
      </c>
      <c r="E119" s="25">
        <v>65.22</v>
      </c>
      <c r="F119" s="23" t="s">
        <v>47</v>
      </c>
      <c r="G119" s="24" t="str">
        <f>VLOOKUP(F119,teams_owners!A:B,2,FALSE)</f>
        <v>Rob Connet</v>
      </c>
      <c r="H119" s="25">
        <v>98.74</v>
      </c>
    </row>
    <row r="120" spans="1:8" ht="14.25" customHeight="1" x14ac:dyDescent="0.25">
      <c r="A120" s="23" t="s">
        <v>51</v>
      </c>
      <c r="B120" s="23" t="s">
        <v>55</v>
      </c>
      <c r="C120" s="23" t="s">
        <v>56</v>
      </c>
      <c r="D120" s="24" t="str">
        <f>VLOOKUP(C120,teams_owners!A:B,2,FALSE)</f>
        <v>Rob Taylor</v>
      </c>
      <c r="E120" s="25">
        <v>110.96</v>
      </c>
      <c r="F120" s="23" t="s">
        <v>32</v>
      </c>
      <c r="G120" s="24" t="str">
        <f>VLOOKUP(F120,teams_owners!A:B,2,FALSE)</f>
        <v>Nathan</v>
      </c>
      <c r="H120" s="25">
        <v>50.14</v>
      </c>
    </row>
    <row r="121" spans="1:8" ht="14.25" customHeight="1" x14ac:dyDescent="0.25">
      <c r="A121" s="23" t="s">
        <v>51</v>
      </c>
      <c r="B121" s="23" t="s">
        <v>55</v>
      </c>
      <c r="C121" s="23" t="s">
        <v>40</v>
      </c>
      <c r="D121" s="24" t="str">
        <f>VLOOKUP(C121,teams_owners!A:B,2,FALSE)</f>
        <v>Greg Mitchell</v>
      </c>
      <c r="E121" s="25">
        <v>151.84</v>
      </c>
      <c r="F121" s="23" t="s">
        <v>37</v>
      </c>
      <c r="G121" s="24" t="str">
        <f>VLOOKUP(F121,teams_owners!A:B,2,FALSE)</f>
        <v>Rich Andrew</v>
      </c>
      <c r="H121" s="25">
        <v>115.26</v>
      </c>
    </row>
    <row r="122" spans="1:8" ht="14.25" customHeight="1" x14ac:dyDescent="0.25">
      <c r="A122" s="23" t="s">
        <v>51</v>
      </c>
      <c r="B122" s="23" t="s">
        <v>55</v>
      </c>
      <c r="C122" s="23" t="s">
        <v>86</v>
      </c>
      <c r="D122" s="24" t="str">
        <f>VLOOKUP(C122,teams_owners!A:B,2,FALSE)</f>
        <v xml:space="preserve">Charlie Hauton </v>
      </c>
      <c r="E122" s="25">
        <v>99.88</v>
      </c>
      <c r="F122" s="23" t="s">
        <v>45</v>
      </c>
      <c r="G122" s="24" t="str">
        <f>VLOOKUP(F122,teams_owners!A:B,2,FALSE)</f>
        <v>Adam Wilko</v>
      </c>
      <c r="H122" s="25">
        <v>109.3</v>
      </c>
    </row>
    <row r="123" spans="1:8" ht="14.25" customHeight="1" x14ac:dyDescent="0.25">
      <c r="A123" s="23" t="s">
        <v>51</v>
      </c>
      <c r="B123" s="23" t="s">
        <v>55</v>
      </c>
      <c r="C123" s="23" t="s">
        <v>33</v>
      </c>
      <c r="D123" s="24" t="str">
        <f>VLOOKUP(C123,teams_owners!A:B,2,FALSE)</f>
        <v>Luc Chignell</v>
      </c>
      <c r="E123" s="25">
        <v>78.2</v>
      </c>
      <c r="F123" s="23" t="s">
        <v>52</v>
      </c>
      <c r="G123" s="24" t="str">
        <f>VLOOKUP(F123,teams_owners!A:B,2,FALSE)</f>
        <v>Fiona Kerry</v>
      </c>
      <c r="H123" s="25">
        <v>106.42</v>
      </c>
    </row>
    <row r="124" spans="1:8" ht="14.25" customHeight="1" x14ac:dyDescent="0.25">
      <c r="A124" s="23" t="s">
        <v>51</v>
      </c>
      <c r="B124" s="23" t="s">
        <v>55</v>
      </c>
      <c r="C124" s="23" t="s">
        <v>42</v>
      </c>
      <c r="D124" s="24" t="str">
        <f>VLOOKUP(C124,teams_owners!A:B,2,FALSE)</f>
        <v>Dave Bracegirdle</v>
      </c>
      <c r="E124" s="25">
        <v>101.86</v>
      </c>
      <c r="F124" s="23" t="s">
        <v>47</v>
      </c>
      <c r="G124" s="24" t="str">
        <f>VLOOKUP(F124,teams_owners!A:B,2,FALSE)</f>
        <v>Rob Connet</v>
      </c>
      <c r="H124" s="25">
        <v>103.76</v>
      </c>
    </row>
    <row r="125" spans="1:8" ht="14.25" customHeight="1" x14ac:dyDescent="0.25">
      <c r="A125" s="23" t="s">
        <v>51</v>
      </c>
      <c r="B125" s="23" t="s">
        <v>77</v>
      </c>
      <c r="C125" s="23" t="s">
        <v>56</v>
      </c>
      <c r="D125" s="24" t="str">
        <f>VLOOKUP(C125,teams_owners!A:B,2,FALSE)</f>
        <v>Rob Taylor</v>
      </c>
      <c r="E125" s="25">
        <v>76.28</v>
      </c>
      <c r="F125" s="23" t="s">
        <v>42</v>
      </c>
      <c r="G125" s="24" t="str">
        <f>VLOOKUP(F125,teams_owners!A:B,2,FALSE)</f>
        <v>Dave Bracegirdle</v>
      </c>
      <c r="H125" s="25">
        <v>66.36</v>
      </c>
    </row>
    <row r="126" spans="1:8" ht="14.25" customHeight="1" x14ac:dyDescent="0.25">
      <c r="A126" s="23" t="s">
        <v>51</v>
      </c>
      <c r="B126" s="23" t="s">
        <v>77</v>
      </c>
      <c r="C126" s="23" t="s">
        <v>37</v>
      </c>
      <c r="D126" s="24" t="str">
        <f>VLOOKUP(C126,teams_owners!A:B,2,FALSE)</f>
        <v>Rich Andrew</v>
      </c>
      <c r="E126" s="25">
        <v>95.62</v>
      </c>
      <c r="F126" s="23" t="s">
        <v>45</v>
      </c>
      <c r="G126" s="24" t="str">
        <f>VLOOKUP(F126,teams_owners!A:B,2,FALSE)</f>
        <v>Adam Wilko</v>
      </c>
      <c r="H126" s="25">
        <v>106</v>
      </c>
    </row>
    <row r="127" spans="1:8" ht="14.25" customHeight="1" x14ac:dyDescent="0.25">
      <c r="A127" s="23" t="s">
        <v>51</v>
      </c>
      <c r="B127" s="23" t="s">
        <v>77</v>
      </c>
      <c r="C127" s="23" t="s">
        <v>52</v>
      </c>
      <c r="D127" s="24" t="str">
        <f>VLOOKUP(C127,teams_owners!A:B,2,FALSE)</f>
        <v>Fiona Kerry</v>
      </c>
      <c r="E127" s="25">
        <v>137.6</v>
      </c>
      <c r="F127" s="23" t="s">
        <v>40</v>
      </c>
      <c r="G127" s="24" t="str">
        <f>VLOOKUP(F127,teams_owners!A:B,2,FALSE)</f>
        <v>Greg Mitchell</v>
      </c>
      <c r="H127" s="25">
        <v>93.62</v>
      </c>
    </row>
    <row r="128" spans="1:8" ht="14.25" customHeight="1" x14ac:dyDescent="0.25">
      <c r="A128" s="23" t="s">
        <v>51</v>
      </c>
      <c r="B128" s="23" t="s">
        <v>77</v>
      </c>
      <c r="C128" s="23" t="s">
        <v>32</v>
      </c>
      <c r="D128" s="24" t="str">
        <f>VLOOKUP(C128,teams_owners!A:B,2,FALSE)</f>
        <v>Nathan</v>
      </c>
      <c r="E128" s="25">
        <v>120.96</v>
      </c>
      <c r="F128" s="23" t="s">
        <v>86</v>
      </c>
      <c r="G128" s="24" t="str">
        <f>VLOOKUP(F128,teams_owners!A:B,2,FALSE)</f>
        <v xml:space="preserve">Charlie Hauton </v>
      </c>
      <c r="H128" s="25">
        <v>119.08</v>
      </c>
    </row>
    <row r="129" spans="1:8" ht="14.25" customHeight="1" x14ac:dyDescent="0.25">
      <c r="A129" s="23" t="s">
        <v>51</v>
      </c>
      <c r="B129" s="23" t="s">
        <v>77</v>
      </c>
      <c r="C129" s="23" t="s">
        <v>47</v>
      </c>
      <c r="D129" s="24" t="str">
        <f>VLOOKUP(C129,teams_owners!A:B,2,FALSE)</f>
        <v>Rob Connet</v>
      </c>
      <c r="E129" s="25">
        <v>90.64</v>
      </c>
      <c r="F129" s="23" t="s">
        <v>33</v>
      </c>
      <c r="G129" s="24" t="str">
        <f>VLOOKUP(F129,teams_owners!A:B,2,FALSE)</f>
        <v>Luc Chignell</v>
      </c>
      <c r="H129" s="25">
        <v>66.760000000000005</v>
      </c>
    </row>
    <row r="130" spans="1:8" ht="14.25" customHeight="1" x14ac:dyDescent="0.25">
      <c r="A130" s="23" t="s">
        <v>51</v>
      </c>
      <c r="B130" s="23" t="s">
        <v>84</v>
      </c>
      <c r="C130" s="23" t="s">
        <v>56</v>
      </c>
      <c r="D130" s="24" t="str">
        <f>VLOOKUP(C130,teams_owners!A:B,2,FALSE)</f>
        <v>Rob Taylor</v>
      </c>
      <c r="E130" s="25">
        <v>93.8</v>
      </c>
      <c r="F130" s="23" t="s">
        <v>33</v>
      </c>
      <c r="G130" s="24" t="str">
        <f>VLOOKUP(F130,teams_owners!A:B,2,FALSE)</f>
        <v>Luc Chignell</v>
      </c>
      <c r="H130" s="25">
        <v>112.62</v>
      </c>
    </row>
    <row r="131" spans="1:8" ht="14.25" customHeight="1" x14ac:dyDescent="0.25">
      <c r="A131" s="23" t="s">
        <v>51</v>
      </c>
      <c r="B131" s="23" t="s">
        <v>84</v>
      </c>
      <c r="C131" s="23" t="s">
        <v>52</v>
      </c>
      <c r="D131" s="24" t="str">
        <f>VLOOKUP(C131,teams_owners!A:B,2,FALSE)</f>
        <v>Fiona Kerry</v>
      </c>
      <c r="E131" s="25">
        <v>92.26</v>
      </c>
      <c r="F131" s="23" t="s">
        <v>37</v>
      </c>
      <c r="G131" s="24" t="str">
        <f>VLOOKUP(F131,teams_owners!A:B,2,FALSE)</f>
        <v>Rich Andrew</v>
      </c>
      <c r="H131" s="25">
        <v>122.94</v>
      </c>
    </row>
    <row r="132" spans="1:8" ht="14.25" customHeight="1" x14ac:dyDescent="0.25">
      <c r="A132" s="23" t="s">
        <v>51</v>
      </c>
      <c r="B132" s="23" t="s">
        <v>84</v>
      </c>
      <c r="C132" s="23" t="s">
        <v>45</v>
      </c>
      <c r="D132" s="24" t="str">
        <f>VLOOKUP(C132,teams_owners!A:B,2,FALSE)</f>
        <v>Adam Wilko</v>
      </c>
      <c r="E132" s="25">
        <v>129.52000000000001</v>
      </c>
      <c r="F132" s="23" t="s">
        <v>32</v>
      </c>
      <c r="G132" s="24" t="str">
        <f>VLOOKUP(F132,teams_owners!A:B,2,FALSE)</f>
        <v>Nathan</v>
      </c>
      <c r="H132" s="25">
        <v>138.16</v>
      </c>
    </row>
    <row r="133" spans="1:8" ht="14.25" customHeight="1" x14ac:dyDescent="0.25">
      <c r="A133" s="23" t="s">
        <v>51</v>
      </c>
      <c r="B133" s="23" t="s">
        <v>84</v>
      </c>
      <c r="C133" s="23" t="s">
        <v>40</v>
      </c>
      <c r="D133" s="24" t="str">
        <f>VLOOKUP(C133,teams_owners!A:B,2,FALSE)</f>
        <v>Greg Mitchell</v>
      </c>
      <c r="E133" s="25">
        <v>87.44</v>
      </c>
      <c r="F133" s="23" t="s">
        <v>47</v>
      </c>
      <c r="G133" s="24" t="str">
        <f>VLOOKUP(F133,teams_owners!A:B,2,FALSE)</f>
        <v>Rob Connet</v>
      </c>
      <c r="H133" s="25">
        <v>129.1</v>
      </c>
    </row>
    <row r="134" spans="1:8" ht="14.25" customHeight="1" x14ac:dyDescent="0.25">
      <c r="A134" s="23" t="s">
        <v>51</v>
      </c>
      <c r="B134" s="23" t="s">
        <v>84</v>
      </c>
      <c r="C134" s="23" t="s">
        <v>86</v>
      </c>
      <c r="D134" s="24" t="str">
        <f>VLOOKUP(C134,teams_owners!A:B,2,FALSE)</f>
        <v xml:space="preserve">Charlie Hauton </v>
      </c>
      <c r="E134" s="25">
        <v>94.66</v>
      </c>
      <c r="F134" s="23" t="s">
        <v>42</v>
      </c>
      <c r="G134" s="24" t="str">
        <f>VLOOKUP(F134,teams_owners!A:B,2,FALSE)</f>
        <v>Dave Bracegirdle</v>
      </c>
      <c r="H134" s="25">
        <v>105.64</v>
      </c>
    </row>
    <row r="135" spans="1:8" ht="14.25" customHeight="1" x14ac:dyDescent="0.25">
      <c r="A135" s="23" t="s">
        <v>51</v>
      </c>
      <c r="B135" s="23" t="s">
        <v>39</v>
      </c>
      <c r="C135" s="23" t="s">
        <v>56</v>
      </c>
      <c r="D135" s="24" t="str">
        <f>VLOOKUP(C135,teams_owners!A:B,2,FALSE)</f>
        <v>Rob Taylor</v>
      </c>
      <c r="E135" s="25">
        <v>119.08</v>
      </c>
      <c r="F135" s="23" t="s">
        <v>40</v>
      </c>
      <c r="G135" s="24" t="str">
        <f>VLOOKUP(F135,teams_owners!A:B,2,FALSE)</f>
        <v>Greg Mitchell</v>
      </c>
      <c r="H135" s="25">
        <v>85</v>
      </c>
    </row>
    <row r="136" spans="1:8" ht="14.25" customHeight="1" x14ac:dyDescent="0.25">
      <c r="A136" s="23" t="s">
        <v>51</v>
      </c>
      <c r="B136" s="23" t="s">
        <v>39</v>
      </c>
      <c r="C136" s="23" t="s">
        <v>37</v>
      </c>
      <c r="D136" s="24" t="str">
        <f>VLOOKUP(C136,teams_owners!A:B,2,FALSE)</f>
        <v>Rich Andrew</v>
      </c>
      <c r="E136" s="25">
        <v>103.32</v>
      </c>
      <c r="F136" s="23" t="s">
        <v>32</v>
      </c>
      <c r="G136" s="24" t="str">
        <f>VLOOKUP(F136,teams_owners!A:B,2,FALSE)</f>
        <v>Nathan</v>
      </c>
      <c r="H136" s="25">
        <v>100.28</v>
      </c>
    </row>
    <row r="137" spans="1:8" ht="14.25" customHeight="1" x14ac:dyDescent="0.25">
      <c r="A137" s="23" t="s">
        <v>51</v>
      </c>
      <c r="B137" s="23" t="s">
        <v>39</v>
      </c>
      <c r="C137" s="23" t="s">
        <v>47</v>
      </c>
      <c r="D137" s="24" t="str">
        <f>VLOOKUP(C137,teams_owners!A:B,2,FALSE)</f>
        <v>Rob Connet</v>
      </c>
      <c r="E137" s="25">
        <v>132.58000000000001</v>
      </c>
      <c r="F137" s="23" t="s">
        <v>52</v>
      </c>
      <c r="G137" s="24" t="str">
        <f>VLOOKUP(F137,teams_owners!A:B,2,FALSE)</f>
        <v>Fiona Kerry</v>
      </c>
      <c r="H137" s="25">
        <v>145.22</v>
      </c>
    </row>
    <row r="138" spans="1:8" ht="14.25" customHeight="1" x14ac:dyDescent="0.25">
      <c r="A138" s="23" t="s">
        <v>51</v>
      </c>
      <c r="B138" s="23" t="s">
        <v>39</v>
      </c>
      <c r="C138" s="23" t="s">
        <v>42</v>
      </c>
      <c r="D138" s="24" t="str">
        <f>VLOOKUP(C138,teams_owners!A:B,2,FALSE)</f>
        <v>Dave Bracegirdle</v>
      </c>
      <c r="E138" s="25">
        <v>107.9</v>
      </c>
      <c r="F138" s="23" t="s">
        <v>45</v>
      </c>
      <c r="G138" s="24" t="str">
        <f>VLOOKUP(F138,teams_owners!A:B,2,FALSE)</f>
        <v>Adam Wilko</v>
      </c>
      <c r="H138" s="25">
        <v>76.900000000000006</v>
      </c>
    </row>
    <row r="139" spans="1:8" ht="14.25" customHeight="1" x14ac:dyDescent="0.25">
      <c r="A139" s="23" t="s">
        <v>51</v>
      </c>
      <c r="B139" s="23" t="s">
        <v>39</v>
      </c>
      <c r="C139" s="23" t="s">
        <v>33</v>
      </c>
      <c r="D139" s="24" t="str">
        <f>VLOOKUP(C139,teams_owners!A:B,2,FALSE)</f>
        <v>Luc Chignell</v>
      </c>
      <c r="E139" s="25">
        <v>123.52</v>
      </c>
      <c r="F139" s="23" t="s">
        <v>86</v>
      </c>
      <c r="G139" s="24" t="str">
        <f>VLOOKUP(F139,teams_owners!A:B,2,FALSE)</f>
        <v xml:space="preserve">Charlie Hauton </v>
      </c>
      <c r="H139" s="25">
        <v>71.16</v>
      </c>
    </row>
    <row r="140" spans="1:8" ht="14.25" customHeight="1" x14ac:dyDescent="0.25">
      <c r="A140" s="23" t="s">
        <v>51</v>
      </c>
      <c r="B140" s="23" t="s">
        <v>62</v>
      </c>
      <c r="C140" s="23" t="s">
        <v>56</v>
      </c>
      <c r="D140" s="24" t="str">
        <f>VLOOKUP(C140,teams_owners!A:B,2,FALSE)</f>
        <v>Rob Taylor</v>
      </c>
      <c r="E140" s="25">
        <v>137.34</v>
      </c>
      <c r="F140" s="23" t="s">
        <v>52</v>
      </c>
      <c r="G140" s="24" t="str">
        <f>VLOOKUP(F140,teams_owners!A:B,2,FALSE)</f>
        <v>Fiona Kerry</v>
      </c>
      <c r="H140" s="25">
        <v>137.34</v>
      </c>
    </row>
    <row r="141" spans="1:8" ht="14.25" customHeight="1" x14ac:dyDescent="0.25">
      <c r="A141" s="23" t="s">
        <v>51</v>
      </c>
      <c r="B141" s="23" t="s">
        <v>62</v>
      </c>
      <c r="C141" s="23" t="s">
        <v>47</v>
      </c>
      <c r="D141" s="24" t="str">
        <f>VLOOKUP(C141,teams_owners!A:B,2,FALSE)</f>
        <v>Rob Connet</v>
      </c>
      <c r="E141" s="25">
        <v>121.22</v>
      </c>
      <c r="F141" s="23" t="s">
        <v>37</v>
      </c>
      <c r="G141" s="24" t="str">
        <f>VLOOKUP(F141,teams_owners!A:B,2,FALSE)</f>
        <v>Rich Andrew</v>
      </c>
      <c r="H141" s="25">
        <v>117.12</v>
      </c>
    </row>
    <row r="142" spans="1:8" ht="14.25" customHeight="1" x14ac:dyDescent="0.25">
      <c r="A142" s="23" t="s">
        <v>51</v>
      </c>
      <c r="B142" s="23" t="s">
        <v>62</v>
      </c>
      <c r="C142" s="23" t="s">
        <v>32</v>
      </c>
      <c r="D142" s="24" t="str">
        <f>VLOOKUP(C142,teams_owners!A:B,2,FALSE)</f>
        <v>Nathan</v>
      </c>
      <c r="E142" s="25">
        <v>88.32</v>
      </c>
      <c r="F142" s="23" t="s">
        <v>42</v>
      </c>
      <c r="G142" s="24" t="str">
        <f>VLOOKUP(F142,teams_owners!A:B,2,FALSE)</f>
        <v>Dave Bracegirdle</v>
      </c>
      <c r="H142" s="25">
        <v>109.06</v>
      </c>
    </row>
    <row r="143" spans="1:8" ht="14.25" customHeight="1" x14ac:dyDescent="0.25">
      <c r="A143" s="23" t="s">
        <v>51</v>
      </c>
      <c r="B143" s="23" t="s">
        <v>62</v>
      </c>
      <c r="C143" s="23" t="s">
        <v>45</v>
      </c>
      <c r="D143" s="24" t="str">
        <f>VLOOKUP(C143,teams_owners!A:B,2,FALSE)</f>
        <v>Adam Wilko</v>
      </c>
      <c r="E143" s="25">
        <v>122.86</v>
      </c>
      <c r="F143" s="23" t="s">
        <v>33</v>
      </c>
      <c r="G143" s="24" t="str">
        <f>VLOOKUP(F143,teams_owners!A:B,2,FALSE)</f>
        <v>Luc Chignell</v>
      </c>
      <c r="H143" s="25">
        <v>102.52</v>
      </c>
    </row>
    <row r="144" spans="1:8" ht="14.25" customHeight="1" x14ac:dyDescent="0.25">
      <c r="A144" s="23" t="s">
        <v>51</v>
      </c>
      <c r="B144" s="23" t="s">
        <v>62</v>
      </c>
      <c r="C144" s="23" t="s">
        <v>40</v>
      </c>
      <c r="D144" s="24" t="str">
        <f>VLOOKUP(C144,teams_owners!A:B,2,FALSE)</f>
        <v>Greg Mitchell</v>
      </c>
      <c r="E144" s="25">
        <v>91.98</v>
      </c>
      <c r="F144" s="23" t="s">
        <v>86</v>
      </c>
      <c r="G144" s="24" t="str">
        <f>VLOOKUP(F144,teams_owners!A:B,2,FALSE)</f>
        <v xml:space="preserve">Charlie Hauton </v>
      </c>
      <c r="H144" s="25">
        <v>96.42</v>
      </c>
    </row>
    <row r="145" spans="1:8" ht="14.25" customHeight="1" x14ac:dyDescent="0.25">
      <c r="A145" s="23" t="s">
        <v>51</v>
      </c>
      <c r="B145" s="23" t="s">
        <v>70</v>
      </c>
      <c r="C145" s="23" t="s">
        <v>56</v>
      </c>
      <c r="D145" s="24" t="str">
        <f>VLOOKUP(C145,teams_owners!A:B,2,FALSE)</f>
        <v>Rob Taylor</v>
      </c>
      <c r="E145" s="25">
        <v>79.900000000000006</v>
      </c>
      <c r="F145" s="23" t="s">
        <v>47</v>
      </c>
      <c r="G145" s="24" t="str">
        <f>VLOOKUP(F145,teams_owners!A:B,2,FALSE)</f>
        <v>Rob Connet</v>
      </c>
      <c r="H145" s="25">
        <v>104.62</v>
      </c>
    </row>
    <row r="146" spans="1:8" ht="14.25" customHeight="1" x14ac:dyDescent="0.25">
      <c r="A146" s="23" t="s">
        <v>51</v>
      </c>
      <c r="B146" s="23" t="s">
        <v>70</v>
      </c>
      <c r="C146" s="23" t="s">
        <v>37</v>
      </c>
      <c r="D146" s="24" t="str">
        <f>VLOOKUP(C146,teams_owners!A:B,2,FALSE)</f>
        <v>Rich Andrew</v>
      </c>
      <c r="E146" s="25">
        <v>85.36</v>
      </c>
      <c r="F146" s="23" t="s">
        <v>42</v>
      </c>
      <c r="G146" s="24" t="str">
        <f>VLOOKUP(F146,teams_owners!A:B,2,FALSE)</f>
        <v>Dave Bracegirdle</v>
      </c>
      <c r="H146" s="25">
        <v>106.4</v>
      </c>
    </row>
    <row r="147" spans="1:8" ht="14.25" customHeight="1" x14ac:dyDescent="0.25">
      <c r="A147" s="23" t="s">
        <v>51</v>
      </c>
      <c r="B147" s="23" t="s">
        <v>70</v>
      </c>
      <c r="C147" s="23" t="s">
        <v>33</v>
      </c>
      <c r="D147" s="24" t="str">
        <f>VLOOKUP(C147,teams_owners!A:B,2,FALSE)</f>
        <v>Luc Chignell</v>
      </c>
      <c r="E147" s="25">
        <v>71.88</v>
      </c>
      <c r="F147" s="23" t="s">
        <v>32</v>
      </c>
      <c r="G147" s="24" t="str">
        <f>VLOOKUP(F147,teams_owners!A:B,2,FALSE)</f>
        <v>Nathan</v>
      </c>
      <c r="H147" s="25">
        <v>82.62</v>
      </c>
    </row>
    <row r="148" spans="1:8" ht="14.25" customHeight="1" x14ac:dyDescent="0.25">
      <c r="A148" s="23" t="s">
        <v>51</v>
      </c>
      <c r="B148" s="23" t="s">
        <v>70</v>
      </c>
      <c r="C148" s="23" t="s">
        <v>86</v>
      </c>
      <c r="D148" s="24" t="str">
        <f>VLOOKUP(C148,teams_owners!A:B,2,FALSE)</f>
        <v xml:space="preserve">Charlie Hauton </v>
      </c>
      <c r="E148" s="25">
        <v>76.64</v>
      </c>
      <c r="F148" s="23" t="s">
        <v>52</v>
      </c>
      <c r="G148" s="24" t="str">
        <f>VLOOKUP(F148,teams_owners!A:B,2,FALSE)</f>
        <v>Fiona Kerry</v>
      </c>
      <c r="H148" s="25">
        <v>153.5</v>
      </c>
    </row>
    <row r="149" spans="1:8" ht="14.25" customHeight="1" x14ac:dyDescent="0.25">
      <c r="A149" s="23" t="s">
        <v>51</v>
      </c>
      <c r="B149" s="23" t="s">
        <v>70</v>
      </c>
      <c r="C149" s="23" t="s">
        <v>40</v>
      </c>
      <c r="D149" s="24" t="str">
        <f>VLOOKUP(C149,teams_owners!A:B,2,FALSE)</f>
        <v>Greg Mitchell</v>
      </c>
      <c r="E149" s="25">
        <v>115.52</v>
      </c>
      <c r="F149" s="23" t="s">
        <v>45</v>
      </c>
      <c r="G149" s="24" t="str">
        <f>VLOOKUP(F149,teams_owners!A:B,2,FALSE)</f>
        <v>Adam Wilko</v>
      </c>
      <c r="H149" s="25">
        <v>85.96</v>
      </c>
    </row>
    <row r="150" spans="1:8" ht="14.25" customHeight="1" x14ac:dyDescent="0.25">
      <c r="A150" s="23" t="s">
        <v>51</v>
      </c>
      <c r="B150" s="23" t="s">
        <v>85</v>
      </c>
      <c r="C150" s="23" t="s">
        <v>56</v>
      </c>
      <c r="D150" s="24" t="str">
        <f>VLOOKUP(C150,teams_owners!A:B,2,FALSE)</f>
        <v>Rob Taylor</v>
      </c>
      <c r="E150" s="25">
        <v>102.8</v>
      </c>
      <c r="F150" s="23" t="s">
        <v>37</v>
      </c>
      <c r="G150" s="24" t="str">
        <f>VLOOKUP(F150,teams_owners!A:B,2,FALSE)</f>
        <v>Rich Andrew</v>
      </c>
      <c r="H150" s="25">
        <v>117.18</v>
      </c>
    </row>
    <row r="151" spans="1:8" ht="14.25" customHeight="1" x14ac:dyDescent="0.25">
      <c r="A151" s="23" t="s">
        <v>51</v>
      </c>
      <c r="B151" s="23" t="s">
        <v>85</v>
      </c>
      <c r="C151" s="23" t="s">
        <v>42</v>
      </c>
      <c r="D151" s="24" t="str">
        <f>VLOOKUP(C151,teams_owners!A:B,2,FALSE)</f>
        <v>Dave Bracegirdle</v>
      </c>
      <c r="E151" s="25">
        <v>84.78</v>
      </c>
      <c r="F151" s="23" t="s">
        <v>33</v>
      </c>
      <c r="G151" s="24" t="str">
        <f>VLOOKUP(F151,teams_owners!A:B,2,FALSE)</f>
        <v>Luc Chignell</v>
      </c>
      <c r="H151" s="25">
        <v>62.5</v>
      </c>
    </row>
    <row r="152" spans="1:8" ht="14.25" customHeight="1" x14ac:dyDescent="0.25">
      <c r="A152" s="23" t="s">
        <v>51</v>
      </c>
      <c r="B152" s="23" t="s">
        <v>85</v>
      </c>
      <c r="C152" s="23" t="s">
        <v>47</v>
      </c>
      <c r="D152" s="24" t="str">
        <f>VLOOKUP(C152,teams_owners!A:B,2,FALSE)</f>
        <v>Rob Connet</v>
      </c>
      <c r="E152" s="25">
        <v>117.06</v>
      </c>
      <c r="F152" s="23" t="s">
        <v>86</v>
      </c>
      <c r="G152" s="24" t="str">
        <f>VLOOKUP(F152,teams_owners!A:B,2,FALSE)</f>
        <v xml:space="preserve">Charlie Hauton </v>
      </c>
      <c r="H152" s="25">
        <v>85.18</v>
      </c>
    </row>
    <row r="153" spans="1:8" ht="14.25" customHeight="1" x14ac:dyDescent="0.25">
      <c r="A153" s="23" t="s">
        <v>51</v>
      </c>
      <c r="B153" s="23" t="s">
        <v>85</v>
      </c>
      <c r="C153" s="23" t="s">
        <v>32</v>
      </c>
      <c r="D153" s="24" t="str">
        <f>VLOOKUP(C153,teams_owners!A:B,2,FALSE)</f>
        <v>Nathan</v>
      </c>
      <c r="E153" s="25">
        <v>73.14</v>
      </c>
      <c r="F153" s="23" t="s">
        <v>40</v>
      </c>
      <c r="G153" s="24" t="str">
        <f>VLOOKUP(F153,teams_owners!A:B,2,FALSE)</f>
        <v>Greg Mitchell</v>
      </c>
      <c r="H153" s="25">
        <v>74.72</v>
      </c>
    </row>
    <row r="154" spans="1:8" ht="14.25" customHeight="1" x14ac:dyDescent="0.25">
      <c r="A154" s="23" t="s">
        <v>51</v>
      </c>
      <c r="B154" s="23" t="s">
        <v>85</v>
      </c>
      <c r="C154" s="23" t="s">
        <v>52</v>
      </c>
      <c r="D154" s="24" t="str">
        <f>VLOOKUP(C154,teams_owners!A:B,2,FALSE)</f>
        <v>Fiona Kerry</v>
      </c>
      <c r="E154" s="25">
        <v>116.88</v>
      </c>
      <c r="F154" s="23" t="s">
        <v>45</v>
      </c>
      <c r="G154" s="24" t="str">
        <f>VLOOKUP(F154,teams_owners!A:B,2,FALSE)</f>
        <v>Adam Wilko</v>
      </c>
      <c r="H154" s="25">
        <v>82.8</v>
      </c>
    </row>
    <row r="155" spans="1:8" ht="14.25" customHeight="1" x14ac:dyDescent="0.25">
      <c r="A155" s="23" t="s">
        <v>51</v>
      </c>
      <c r="B155" s="23" t="s">
        <v>31</v>
      </c>
      <c r="C155" s="23" t="s">
        <v>40</v>
      </c>
      <c r="D155" s="24" t="str">
        <f>VLOOKUP(C155,teams_owners!A:B,2,FALSE)</f>
        <v>Greg Mitchell</v>
      </c>
      <c r="E155" s="25">
        <v>105.24</v>
      </c>
      <c r="F155" s="23" t="s">
        <v>47</v>
      </c>
      <c r="G155" s="24" t="str">
        <f>VLOOKUP(F155,teams_owners!A:B,2,FALSE)</f>
        <v>Rob Connet</v>
      </c>
      <c r="H155" s="25">
        <v>86.96</v>
      </c>
    </row>
    <row r="156" spans="1:8" ht="14.25" customHeight="1" x14ac:dyDescent="0.25">
      <c r="A156" s="23" t="s">
        <v>51</v>
      </c>
      <c r="B156" s="23" t="s">
        <v>81</v>
      </c>
      <c r="C156" s="23" t="s">
        <v>37</v>
      </c>
      <c r="D156" s="24" t="str">
        <f>VLOOKUP(C156,teams_owners!A:B,2,FALSE)</f>
        <v>Rich Andrew</v>
      </c>
      <c r="E156" s="25">
        <v>103.16</v>
      </c>
      <c r="F156" s="23" t="s">
        <v>45</v>
      </c>
      <c r="G156" s="24" t="str">
        <f>VLOOKUP(F156,teams_owners!A:B,2,FALSE)</f>
        <v>Adam Wilko</v>
      </c>
      <c r="H156" s="25">
        <v>103.04</v>
      </c>
    </row>
    <row r="157" spans="1:8" ht="14.25" customHeight="1" x14ac:dyDescent="0.25">
      <c r="A157" s="23" t="s">
        <v>51</v>
      </c>
      <c r="B157" s="23" t="s">
        <v>20</v>
      </c>
      <c r="C157" s="23" t="s">
        <v>56</v>
      </c>
      <c r="D157" s="24" t="str">
        <f>VLOOKUP(C157,teams_owners!A:B,2,FALSE)</f>
        <v>Rob Taylor</v>
      </c>
      <c r="E157" s="25">
        <v>108.06</v>
      </c>
      <c r="F157" s="23" t="s">
        <v>86</v>
      </c>
      <c r="G157" s="24" t="str">
        <f>VLOOKUP(F157,teams_owners!A:B,2,FALSE)</f>
        <v xml:space="preserve">Charlie Hauton </v>
      </c>
      <c r="H157" s="25">
        <v>89.9</v>
      </c>
    </row>
    <row r="158" spans="1:8" ht="14.25" customHeight="1" x14ac:dyDescent="0.25">
      <c r="A158" s="23" t="s">
        <v>51</v>
      </c>
      <c r="B158" s="23" t="s">
        <v>49</v>
      </c>
      <c r="C158" s="23" t="s">
        <v>56</v>
      </c>
      <c r="D158" s="24" t="str">
        <f>VLOOKUP(C158,teams_owners!A:B,2,FALSE)</f>
        <v>Rob Taylor</v>
      </c>
      <c r="E158" s="25">
        <v>67.94</v>
      </c>
      <c r="F158" s="23" t="s">
        <v>45</v>
      </c>
      <c r="G158" s="24" t="str">
        <f>VLOOKUP(F158,teams_owners!A:B,2,FALSE)</f>
        <v>Adam Wilko</v>
      </c>
      <c r="H158" s="25">
        <v>85.5</v>
      </c>
    </row>
    <row r="159" spans="1:8" ht="14.25" customHeight="1" x14ac:dyDescent="0.25">
      <c r="A159" s="23" t="s">
        <v>51</v>
      </c>
      <c r="B159" s="23" t="s">
        <v>49</v>
      </c>
      <c r="C159" s="23" t="s">
        <v>37</v>
      </c>
      <c r="D159" s="24" t="str">
        <f>VLOOKUP(C159,teams_owners!A:B,2,FALSE)</f>
        <v>Rich Andrew</v>
      </c>
      <c r="E159" s="25">
        <v>104.84</v>
      </c>
      <c r="F159" s="23" t="s">
        <v>86</v>
      </c>
      <c r="G159" s="24" t="str">
        <f>VLOOKUP(F159,teams_owners!A:B,2,FALSE)</f>
        <v xml:space="preserve">Charlie Hauton </v>
      </c>
      <c r="H159" s="25">
        <v>93.1</v>
      </c>
    </row>
    <row r="160" spans="1:8" ht="14.25" customHeight="1" x14ac:dyDescent="0.25">
      <c r="A160" s="23" t="s">
        <v>51</v>
      </c>
      <c r="B160" s="23" t="s">
        <v>35</v>
      </c>
      <c r="C160" s="23" t="s">
        <v>52</v>
      </c>
      <c r="D160" s="24" t="str">
        <f>VLOOKUP(C160,teams_owners!A:B,2,FALSE)</f>
        <v>Fiona Kerry</v>
      </c>
      <c r="E160" s="25">
        <v>115.02</v>
      </c>
      <c r="F160" s="23" t="s">
        <v>42</v>
      </c>
      <c r="G160" s="24" t="str">
        <f>VLOOKUP(F160,teams_owners!A:B,2,FALSE)</f>
        <v>Dave Bracegirdle</v>
      </c>
      <c r="H160" s="25">
        <v>111.84</v>
      </c>
    </row>
    <row r="161" spans="1:8" ht="14.25" customHeight="1" x14ac:dyDescent="0.25">
      <c r="A161" s="23" t="s">
        <v>51</v>
      </c>
      <c r="B161" s="23" t="s">
        <v>89</v>
      </c>
      <c r="C161" s="23" t="s">
        <v>52</v>
      </c>
      <c r="D161" s="24" t="str">
        <f>VLOOKUP(C161,teams_owners!A:B,2,FALSE)</f>
        <v>Fiona Kerry</v>
      </c>
      <c r="E161" s="25">
        <v>102.12</v>
      </c>
      <c r="F161" s="23" t="s">
        <v>40</v>
      </c>
      <c r="G161" s="24" t="str">
        <f>VLOOKUP(F161,teams_owners!A:B,2,FALSE)</f>
        <v>Greg Mitchell</v>
      </c>
      <c r="H161" s="25">
        <v>93.18</v>
      </c>
    </row>
    <row r="162" spans="1:8" ht="14.25" customHeight="1" x14ac:dyDescent="0.25">
      <c r="A162" s="23" t="s">
        <v>51</v>
      </c>
      <c r="B162" s="23" t="s">
        <v>89</v>
      </c>
      <c r="C162" s="23" t="s">
        <v>47</v>
      </c>
      <c r="D162" s="24" t="str">
        <f>VLOOKUP(C162,teams_owners!A:B,2,FALSE)</f>
        <v>Rob Connet</v>
      </c>
      <c r="E162" s="25">
        <v>73.98</v>
      </c>
      <c r="F162" s="23" t="s">
        <v>42</v>
      </c>
      <c r="G162" s="24" t="str">
        <f>VLOOKUP(F162,teams_owners!A:B,2,FALSE)</f>
        <v>Dave Bracegirdle</v>
      </c>
      <c r="H162" s="25">
        <v>88.28</v>
      </c>
    </row>
    <row r="163" spans="1:8" ht="14.25" customHeight="1" x14ac:dyDescent="0.25">
      <c r="A163" s="23" t="s">
        <v>16</v>
      </c>
      <c r="B163" s="23" t="s">
        <v>8</v>
      </c>
      <c r="C163" s="23" t="s">
        <v>17</v>
      </c>
      <c r="D163" s="24" t="str">
        <f>VLOOKUP(C163,teams_owners!A:B,2,FALSE)</f>
        <v>Rob Taylor</v>
      </c>
      <c r="E163" s="25">
        <v>85.52</v>
      </c>
      <c r="F163" s="23" t="s">
        <v>18</v>
      </c>
      <c r="G163" s="24" t="str">
        <f>VLOOKUP(F163,teams_owners!A:B,2,FALSE)</f>
        <v>Luc Chignell</v>
      </c>
      <c r="H163" s="25">
        <v>89.14</v>
      </c>
    </row>
    <row r="164" spans="1:8" ht="14.25" customHeight="1" x14ac:dyDescent="0.25">
      <c r="A164" s="23" t="s">
        <v>16</v>
      </c>
      <c r="B164" s="23" t="s">
        <v>8</v>
      </c>
      <c r="C164" s="23" t="s">
        <v>37</v>
      </c>
      <c r="D164" s="24" t="str">
        <f>VLOOKUP(C164,teams_owners!A:B,2,FALSE)</f>
        <v>Rich Andrew</v>
      </c>
      <c r="E164" s="25">
        <v>149.12</v>
      </c>
      <c r="F164" s="23" t="s">
        <v>38</v>
      </c>
      <c r="G164" s="24" t="str">
        <f>VLOOKUP(F164,teams_owners!A:B,2,FALSE)</f>
        <v>Fiona Kerry</v>
      </c>
      <c r="H164" s="25">
        <v>118.6</v>
      </c>
    </row>
    <row r="165" spans="1:8" ht="14.25" customHeight="1" x14ac:dyDescent="0.25">
      <c r="A165" s="23" t="s">
        <v>16</v>
      </c>
      <c r="B165" s="23" t="s">
        <v>8</v>
      </c>
      <c r="C165" s="23" t="s">
        <v>32</v>
      </c>
      <c r="D165" s="24" t="str">
        <f>VLOOKUP(C165,teams_owners!A:B,2,FALSE)</f>
        <v>Nathan</v>
      </c>
      <c r="E165" s="25">
        <v>109.84</v>
      </c>
      <c r="F165" s="23" t="s">
        <v>45</v>
      </c>
      <c r="G165" s="24" t="str">
        <f>VLOOKUP(F165,teams_owners!A:B,2,FALSE)</f>
        <v>Adam Wilko</v>
      </c>
      <c r="H165" s="25">
        <v>116.22</v>
      </c>
    </row>
    <row r="166" spans="1:8" ht="14.25" customHeight="1" x14ac:dyDescent="0.25">
      <c r="A166" s="23" t="s">
        <v>16</v>
      </c>
      <c r="B166" s="23" t="s">
        <v>8</v>
      </c>
      <c r="C166" s="23" t="s">
        <v>47</v>
      </c>
      <c r="D166" s="24" t="str">
        <f>VLOOKUP(C166,teams_owners!A:B,2,FALSE)</f>
        <v>Rob Connet</v>
      </c>
      <c r="E166" s="25">
        <v>121.9</v>
      </c>
      <c r="F166" s="23" t="s">
        <v>40</v>
      </c>
      <c r="G166" s="24" t="str">
        <f>VLOOKUP(F166,teams_owners!A:B,2,FALSE)</f>
        <v>Greg Mitchell</v>
      </c>
      <c r="H166" s="25">
        <v>139.32</v>
      </c>
    </row>
    <row r="167" spans="1:8" ht="14.25" customHeight="1" x14ac:dyDescent="0.25">
      <c r="A167" s="23" t="s">
        <v>16</v>
      </c>
      <c r="B167" s="23" t="s">
        <v>8</v>
      </c>
      <c r="C167" s="23" t="s">
        <v>42</v>
      </c>
      <c r="D167" s="24" t="str">
        <f>VLOOKUP(C167,teams_owners!A:B,2,FALSE)</f>
        <v>Dave Bracegirdle</v>
      </c>
      <c r="E167" s="25">
        <v>131.32</v>
      </c>
      <c r="F167" s="23" t="s">
        <v>53</v>
      </c>
      <c r="G167" s="24" t="str">
        <f>VLOOKUP(F167,teams_owners!A:B,2,FALSE)</f>
        <v xml:space="preserve">Charlie Hauton </v>
      </c>
      <c r="H167" s="25">
        <v>85.4</v>
      </c>
    </row>
    <row r="168" spans="1:8" ht="14.25" customHeight="1" x14ac:dyDescent="0.25">
      <c r="A168" s="23" t="s">
        <v>16</v>
      </c>
      <c r="B168" s="23" t="s">
        <v>6</v>
      </c>
      <c r="C168" s="23" t="s">
        <v>17</v>
      </c>
      <c r="D168" s="24" t="str">
        <f>VLOOKUP(C168,teams_owners!A:B,2,FALSE)</f>
        <v>Rob Taylor</v>
      </c>
      <c r="E168" s="25">
        <v>118.18</v>
      </c>
      <c r="F168" s="23" t="s">
        <v>40</v>
      </c>
      <c r="G168" s="24" t="str">
        <f>VLOOKUP(F168,teams_owners!A:B,2,FALSE)</f>
        <v>Greg Mitchell</v>
      </c>
      <c r="H168" s="25">
        <v>92.92</v>
      </c>
    </row>
    <row r="169" spans="1:8" ht="14.25" customHeight="1" x14ac:dyDescent="0.25">
      <c r="A169" s="23" t="s">
        <v>16</v>
      </c>
      <c r="B169" s="23" t="s">
        <v>6</v>
      </c>
      <c r="C169" s="23" t="s">
        <v>32</v>
      </c>
      <c r="D169" s="24" t="str">
        <f>VLOOKUP(C169,teams_owners!A:B,2,FALSE)</f>
        <v>Nathan</v>
      </c>
      <c r="E169" s="25">
        <v>108.2</v>
      </c>
      <c r="F169" s="23" t="s">
        <v>37</v>
      </c>
      <c r="G169" s="24" t="str">
        <f>VLOOKUP(F169,teams_owners!A:B,2,FALSE)</f>
        <v>Rich Andrew</v>
      </c>
      <c r="H169" s="25">
        <v>162.44</v>
      </c>
    </row>
    <row r="170" spans="1:8" ht="14.25" customHeight="1" x14ac:dyDescent="0.25">
      <c r="A170" s="23" t="s">
        <v>16</v>
      </c>
      <c r="B170" s="23" t="s">
        <v>6</v>
      </c>
      <c r="C170" s="23" t="s">
        <v>38</v>
      </c>
      <c r="D170" s="24" t="str">
        <f>VLOOKUP(C170,teams_owners!A:B,2,FALSE)</f>
        <v>Fiona Kerry</v>
      </c>
      <c r="E170" s="25">
        <v>78.92</v>
      </c>
      <c r="F170" s="23" t="s">
        <v>47</v>
      </c>
      <c r="G170" s="24" t="str">
        <f>VLOOKUP(F170,teams_owners!A:B,2,FALSE)</f>
        <v>Rob Connet</v>
      </c>
      <c r="H170" s="25">
        <v>110.3</v>
      </c>
    </row>
    <row r="171" spans="1:8" ht="14.25" customHeight="1" x14ac:dyDescent="0.25">
      <c r="A171" s="23" t="s">
        <v>16</v>
      </c>
      <c r="B171" s="23" t="s">
        <v>6</v>
      </c>
      <c r="C171" s="23" t="s">
        <v>45</v>
      </c>
      <c r="D171" s="24" t="str">
        <f>VLOOKUP(C171,teams_owners!A:B,2,FALSE)</f>
        <v>Adam Wilko</v>
      </c>
      <c r="E171" s="25">
        <v>139.32</v>
      </c>
      <c r="F171" s="23" t="s">
        <v>42</v>
      </c>
      <c r="G171" s="24" t="str">
        <f>VLOOKUP(F171,teams_owners!A:B,2,FALSE)</f>
        <v>Dave Bracegirdle</v>
      </c>
      <c r="H171" s="25">
        <v>93.86</v>
      </c>
    </row>
    <row r="172" spans="1:8" ht="14.25" customHeight="1" x14ac:dyDescent="0.25">
      <c r="A172" s="23" t="s">
        <v>16</v>
      </c>
      <c r="B172" s="23" t="s">
        <v>6</v>
      </c>
      <c r="C172" s="23" t="s">
        <v>53</v>
      </c>
      <c r="D172" s="24" t="str">
        <f>VLOOKUP(C172,teams_owners!A:B,2,FALSE)</f>
        <v xml:space="preserve">Charlie Hauton </v>
      </c>
      <c r="E172" s="25">
        <v>97.1</v>
      </c>
      <c r="F172" s="23" t="s">
        <v>18</v>
      </c>
      <c r="G172" s="24" t="str">
        <f>VLOOKUP(F172,teams_owners!A:B,2,FALSE)</f>
        <v>Luc Chignell</v>
      </c>
      <c r="H172" s="25">
        <v>87.56</v>
      </c>
    </row>
    <row r="173" spans="1:8" ht="14.25" customHeight="1" x14ac:dyDescent="0.25">
      <c r="A173" s="23" t="s">
        <v>16</v>
      </c>
      <c r="B173" s="23" t="s">
        <v>57</v>
      </c>
      <c r="C173" s="23" t="s">
        <v>17</v>
      </c>
      <c r="D173" s="24" t="str">
        <f>VLOOKUP(C173,teams_owners!A:B,2,FALSE)</f>
        <v>Rob Taylor</v>
      </c>
      <c r="E173" s="25">
        <v>128.58000000000001</v>
      </c>
      <c r="F173" s="23" t="s">
        <v>38</v>
      </c>
      <c r="G173" s="24" t="str">
        <f>VLOOKUP(F173,teams_owners!A:B,2,FALSE)</f>
        <v>Fiona Kerry</v>
      </c>
      <c r="H173" s="25">
        <v>84.12</v>
      </c>
    </row>
    <row r="174" spans="1:8" ht="14.25" customHeight="1" x14ac:dyDescent="0.25">
      <c r="A174" s="23" t="s">
        <v>16</v>
      </c>
      <c r="B174" s="23" t="s">
        <v>57</v>
      </c>
      <c r="C174" s="23" t="s">
        <v>37</v>
      </c>
      <c r="D174" s="24" t="str">
        <f>VLOOKUP(C174,teams_owners!A:B,2,FALSE)</f>
        <v>Rich Andrew</v>
      </c>
      <c r="E174" s="25">
        <v>135.86000000000001</v>
      </c>
      <c r="F174" s="23" t="s">
        <v>47</v>
      </c>
      <c r="G174" s="24" t="str">
        <f>VLOOKUP(F174,teams_owners!A:B,2,FALSE)</f>
        <v>Rob Connet</v>
      </c>
      <c r="H174" s="25">
        <v>107.92</v>
      </c>
    </row>
    <row r="175" spans="1:8" ht="14.25" customHeight="1" x14ac:dyDescent="0.25">
      <c r="A175" s="23" t="s">
        <v>16</v>
      </c>
      <c r="B175" s="23" t="s">
        <v>57</v>
      </c>
      <c r="C175" s="23" t="s">
        <v>42</v>
      </c>
      <c r="D175" s="24" t="str">
        <f>VLOOKUP(C175,teams_owners!A:B,2,FALSE)</f>
        <v>Dave Bracegirdle</v>
      </c>
      <c r="E175" s="25">
        <v>111.24</v>
      </c>
      <c r="F175" s="23" t="s">
        <v>32</v>
      </c>
      <c r="G175" s="24" t="str">
        <f>VLOOKUP(F175,teams_owners!A:B,2,FALSE)</f>
        <v>Nathan</v>
      </c>
      <c r="H175" s="25">
        <v>117.26</v>
      </c>
    </row>
    <row r="176" spans="1:8" ht="14.25" customHeight="1" x14ac:dyDescent="0.25">
      <c r="A176" s="23" t="s">
        <v>16</v>
      </c>
      <c r="B176" s="23" t="s">
        <v>57</v>
      </c>
      <c r="C176" s="23" t="s">
        <v>18</v>
      </c>
      <c r="D176" s="24" t="str">
        <f>VLOOKUP(C176,teams_owners!A:B,2,FALSE)</f>
        <v>Luc Chignell</v>
      </c>
      <c r="E176" s="25">
        <v>130.54</v>
      </c>
      <c r="F176" s="23" t="s">
        <v>45</v>
      </c>
      <c r="G176" s="24" t="str">
        <f>VLOOKUP(F176,teams_owners!A:B,2,FALSE)</f>
        <v>Adam Wilko</v>
      </c>
      <c r="H176" s="25">
        <v>97.76</v>
      </c>
    </row>
    <row r="177" spans="1:8" ht="14.25" customHeight="1" x14ac:dyDescent="0.25">
      <c r="A177" s="23" t="s">
        <v>16</v>
      </c>
      <c r="B177" s="23" t="s">
        <v>57</v>
      </c>
      <c r="C177" s="23" t="s">
        <v>53</v>
      </c>
      <c r="D177" s="24" t="str">
        <f>VLOOKUP(C177,teams_owners!A:B,2,FALSE)</f>
        <v xml:space="preserve">Charlie Hauton </v>
      </c>
      <c r="E177" s="25">
        <v>172.94</v>
      </c>
      <c r="F177" s="23" t="s">
        <v>40</v>
      </c>
      <c r="G177" s="24" t="str">
        <f>VLOOKUP(F177,teams_owners!A:B,2,FALSE)</f>
        <v>Greg Mitchell</v>
      </c>
      <c r="H177" s="25">
        <v>76.28</v>
      </c>
    </row>
    <row r="178" spans="1:8" ht="14.25" customHeight="1" x14ac:dyDescent="0.25">
      <c r="A178" s="23" t="s">
        <v>16</v>
      </c>
      <c r="B178" s="23" t="s">
        <v>41</v>
      </c>
      <c r="C178" s="23" t="s">
        <v>17</v>
      </c>
      <c r="D178" s="24" t="str">
        <f>VLOOKUP(C178,teams_owners!A:B,2,FALSE)</f>
        <v>Rob Taylor</v>
      </c>
      <c r="E178" s="25">
        <v>89.08</v>
      </c>
      <c r="F178" s="23" t="s">
        <v>47</v>
      </c>
      <c r="G178" s="24" t="str">
        <f>VLOOKUP(F178,teams_owners!A:B,2,FALSE)</f>
        <v>Rob Connet</v>
      </c>
      <c r="H178" s="25">
        <v>100.5</v>
      </c>
    </row>
    <row r="179" spans="1:8" ht="14.25" customHeight="1" x14ac:dyDescent="0.25">
      <c r="A179" s="23" t="s">
        <v>16</v>
      </c>
      <c r="B179" s="23" t="s">
        <v>41</v>
      </c>
      <c r="C179" s="23" t="s">
        <v>42</v>
      </c>
      <c r="D179" s="24" t="str">
        <f>VLOOKUP(C179,teams_owners!A:B,2,FALSE)</f>
        <v>Dave Bracegirdle</v>
      </c>
      <c r="E179" s="25">
        <v>78.3</v>
      </c>
      <c r="F179" s="23" t="s">
        <v>37</v>
      </c>
      <c r="G179" s="24" t="str">
        <f>VLOOKUP(F179,teams_owners!A:B,2,FALSE)</f>
        <v>Rich Andrew</v>
      </c>
      <c r="H179" s="25">
        <v>140.6</v>
      </c>
    </row>
    <row r="180" spans="1:8" ht="14.25" customHeight="1" x14ac:dyDescent="0.25">
      <c r="A180" s="23" t="s">
        <v>16</v>
      </c>
      <c r="B180" s="23" t="s">
        <v>41</v>
      </c>
      <c r="C180" s="23" t="s">
        <v>32</v>
      </c>
      <c r="D180" s="24" t="str">
        <f>VLOOKUP(C180,teams_owners!A:B,2,FALSE)</f>
        <v>Nathan</v>
      </c>
      <c r="E180" s="25">
        <v>72.180000000000007</v>
      </c>
      <c r="F180" s="23" t="s">
        <v>18</v>
      </c>
      <c r="G180" s="24" t="str">
        <f>VLOOKUP(F180,teams_owners!A:B,2,FALSE)</f>
        <v>Luc Chignell</v>
      </c>
      <c r="H180" s="25">
        <v>106.02</v>
      </c>
    </row>
    <row r="181" spans="1:8" ht="14.25" customHeight="1" x14ac:dyDescent="0.25">
      <c r="A181" s="23" t="s">
        <v>16</v>
      </c>
      <c r="B181" s="23" t="s">
        <v>41</v>
      </c>
      <c r="C181" s="23" t="s">
        <v>38</v>
      </c>
      <c r="D181" s="24" t="str">
        <f>VLOOKUP(C181,teams_owners!A:B,2,FALSE)</f>
        <v>Fiona Kerry</v>
      </c>
      <c r="E181" s="25">
        <v>105.92</v>
      </c>
      <c r="F181" s="23" t="s">
        <v>53</v>
      </c>
      <c r="G181" s="24" t="str">
        <f>VLOOKUP(F181,teams_owners!A:B,2,FALSE)</f>
        <v xml:space="preserve">Charlie Hauton </v>
      </c>
      <c r="H181" s="25">
        <v>117.7</v>
      </c>
    </row>
    <row r="182" spans="1:8" ht="14.25" customHeight="1" x14ac:dyDescent="0.25">
      <c r="A182" s="23" t="s">
        <v>16</v>
      </c>
      <c r="B182" s="23" t="s">
        <v>41</v>
      </c>
      <c r="C182" s="23" t="s">
        <v>45</v>
      </c>
      <c r="D182" s="24" t="str">
        <f>VLOOKUP(C182,teams_owners!A:B,2,FALSE)</f>
        <v>Adam Wilko</v>
      </c>
      <c r="E182" s="25">
        <v>101.6</v>
      </c>
      <c r="F182" s="23" t="s">
        <v>40</v>
      </c>
      <c r="G182" s="24" t="str">
        <f>VLOOKUP(F182,teams_owners!A:B,2,FALSE)</f>
        <v>Greg Mitchell</v>
      </c>
      <c r="H182" s="25">
        <v>109.42</v>
      </c>
    </row>
    <row r="183" spans="1:8" ht="14.25" customHeight="1" x14ac:dyDescent="0.25">
      <c r="A183" s="23" t="s">
        <v>16</v>
      </c>
      <c r="B183" s="23" t="s">
        <v>27</v>
      </c>
      <c r="C183" s="23" t="s">
        <v>17</v>
      </c>
      <c r="D183" s="24" t="str">
        <f>VLOOKUP(C183,teams_owners!A:B,2,FALSE)</f>
        <v>Rob Taylor</v>
      </c>
      <c r="E183" s="25">
        <v>73.84</v>
      </c>
      <c r="F183" s="23" t="s">
        <v>37</v>
      </c>
      <c r="G183" s="24" t="str">
        <f>VLOOKUP(F183,teams_owners!A:B,2,FALSE)</f>
        <v>Rich Andrew</v>
      </c>
      <c r="H183" s="25">
        <v>177.06</v>
      </c>
    </row>
    <row r="184" spans="1:8" ht="14.25" customHeight="1" x14ac:dyDescent="0.25">
      <c r="A184" s="23" t="s">
        <v>16</v>
      </c>
      <c r="B184" s="23" t="s">
        <v>27</v>
      </c>
      <c r="C184" s="23" t="s">
        <v>18</v>
      </c>
      <c r="D184" s="24" t="str">
        <f>VLOOKUP(C184,teams_owners!A:B,2,FALSE)</f>
        <v>Luc Chignell</v>
      </c>
      <c r="E184" s="25">
        <v>144.22</v>
      </c>
      <c r="F184" s="23" t="s">
        <v>42</v>
      </c>
      <c r="G184" s="24" t="str">
        <f>VLOOKUP(F184,teams_owners!A:B,2,FALSE)</f>
        <v>Dave Bracegirdle</v>
      </c>
      <c r="H184" s="25">
        <v>132.56</v>
      </c>
    </row>
    <row r="185" spans="1:8" ht="14.25" customHeight="1" x14ac:dyDescent="0.25">
      <c r="A185" s="23" t="s">
        <v>16</v>
      </c>
      <c r="B185" s="23" t="s">
        <v>27</v>
      </c>
      <c r="C185" s="23" t="s">
        <v>53</v>
      </c>
      <c r="D185" s="24" t="str">
        <f>VLOOKUP(C185,teams_owners!A:B,2,FALSE)</f>
        <v xml:space="preserve">Charlie Hauton </v>
      </c>
      <c r="E185" s="25">
        <v>114.32</v>
      </c>
      <c r="F185" s="23" t="s">
        <v>47</v>
      </c>
      <c r="G185" s="24" t="str">
        <f>VLOOKUP(F185,teams_owners!A:B,2,FALSE)</f>
        <v>Rob Connet</v>
      </c>
      <c r="H185" s="25">
        <v>115.88</v>
      </c>
    </row>
    <row r="186" spans="1:8" ht="14.25" customHeight="1" x14ac:dyDescent="0.25">
      <c r="A186" s="23" t="s">
        <v>16</v>
      </c>
      <c r="B186" s="23" t="s">
        <v>27</v>
      </c>
      <c r="C186" s="23" t="s">
        <v>40</v>
      </c>
      <c r="D186" s="24" t="str">
        <f>VLOOKUP(C186,teams_owners!A:B,2,FALSE)</f>
        <v>Greg Mitchell</v>
      </c>
      <c r="E186" s="25">
        <v>140.54</v>
      </c>
      <c r="F186" s="23" t="s">
        <v>32</v>
      </c>
      <c r="G186" s="24" t="str">
        <f>VLOOKUP(F186,teams_owners!A:B,2,FALSE)</f>
        <v>Nathan</v>
      </c>
      <c r="H186" s="25">
        <v>120.56</v>
      </c>
    </row>
    <row r="187" spans="1:8" ht="14.25" customHeight="1" x14ac:dyDescent="0.25">
      <c r="A187" s="23" t="s">
        <v>16</v>
      </c>
      <c r="B187" s="23" t="s">
        <v>27</v>
      </c>
      <c r="C187" s="23" t="s">
        <v>45</v>
      </c>
      <c r="D187" s="24" t="str">
        <f>VLOOKUP(C187,teams_owners!A:B,2,FALSE)</f>
        <v>Adam Wilko</v>
      </c>
      <c r="E187" s="25">
        <v>57.14</v>
      </c>
      <c r="F187" s="23" t="s">
        <v>38</v>
      </c>
      <c r="G187" s="24" t="str">
        <f>VLOOKUP(F187,teams_owners!A:B,2,FALSE)</f>
        <v>Fiona Kerry</v>
      </c>
      <c r="H187" s="25">
        <v>143.63999999999999</v>
      </c>
    </row>
    <row r="188" spans="1:8" ht="14.25" customHeight="1" x14ac:dyDescent="0.25">
      <c r="A188" s="23" t="s">
        <v>16</v>
      </c>
      <c r="B188" s="23" t="s">
        <v>46</v>
      </c>
      <c r="C188" s="23" t="s">
        <v>17</v>
      </c>
      <c r="D188" s="24" t="str">
        <f>VLOOKUP(C188,teams_owners!A:B,2,FALSE)</f>
        <v>Rob Taylor</v>
      </c>
      <c r="E188" s="25">
        <v>150.94</v>
      </c>
      <c r="F188" s="23" t="s">
        <v>53</v>
      </c>
      <c r="G188" s="24" t="str">
        <f>VLOOKUP(F188,teams_owners!A:B,2,FALSE)</f>
        <v xml:space="preserve">Charlie Hauton </v>
      </c>
      <c r="H188" s="25">
        <v>76.900000000000006</v>
      </c>
    </row>
    <row r="189" spans="1:8" ht="14.25" customHeight="1" x14ac:dyDescent="0.25">
      <c r="A189" s="23" t="s">
        <v>16</v>
      </c>
      <c r="B189" s="23" t="s">
        <v>46</v>
      </c>
      <c r="C189" s="23" t="s">
        <v>18</v>
      </c>
      <c r="D189" s="24" t="str">
        <f>VLOOKUP(C189,teams_owners!A:B,2,FALSE)</f>
        <v>Luc Chignell</v>
      </c>
      <c r="E189" s="25">
        <v>82.56</v>
      </c>
      <c r="F189" s="23" t="s">
        <v>37</v>
      </c>
      <c r="G189" s="24" t="str">
        <f>VLOOKUP(F189,teams_owners!A:B,2,FALSE)</f>
        <v>Rich Andrew</v>
      </c>
      <c r="H189" s="25">
        <v>151.04</v>
      </c>
    </row>
    <row r="190" spans="1:8" ht="14.25" customHeight="1" x14ac:dyDescent="0.25">
      <c r="A190" s="23" t="s">
        <v>16</v>
      </c>
      <c r="B190" s="23" t="s">
        <v>46</v>
      </c>
      <c r="C190" s="23" t="s">
        <v>42</v>
      </c>
      <c r="D190" s="24" t="str">
        <f>VLOOKUP(C190,teams_owners!A:B,2,FALSE)</f>
        <v>Dave Bracegirdle</v>
      </c>
      <c r="E190" s="25">
        <v>94.9</v>
      </c>
      <c r="F190" s="23" t="s">
        <v>40</v>
      </c>
      <c r="G190" s="24" t="str">
        <f>VLOOKUP(F190,teams_owners!A:B,2,FALSE)</f>
        <v>Greg Mitchell</v>
      </c>
      <c r="H190" s="25">
        <v>104.72</v>
      </c>
    </row>
    <row r="191" spans="1:8" ht="14.25" customHeight="1" x14ac:dyDescent="0.25">
      <c r="A191" s="23" t="s">
        <v>16</v>
      </c>
      <c r="B191" s="23" t="s">
        <v>46</v>
      </c>
      <c r="C191" s="23" t="s">
        <v>47</v>
      </c>
      <c r="D191" s="24" t="str">
        <f>VLOOKUP(C191,teams_owners!A:B,2,FALSE)</f>
        <v>Rob Connet</v>
      </c>
      <c r="E191" s="25">
        <v>99.12</v>
      </c>
      <c r="F191" s="23" t="s">
        <v>45</v>
      </c>
      <c r="G191" s="24" t="str">
        <f>VLOOKUP(F191,teams_owners!A:B,2,FALSE)</f>
        <v>Adam Wilko</v>
      </c>
      <c r="H191" s="25">
        <v>48.32</v>
      </c>
    </row>
    <row r="192" spans="1:8" ht="14.25" customHeight="1" x14ac:dyDescent="0.25">
      <c r="A192" s="23" t="s">
        <v>16</v>
      </c>
      <c r="B192" s="23" t="s">
        <v>46</v>
      </c>
      <c r="C192" s="23" t="s">
        <v>32</v>
      </c>
      <c r="D192" s="24" t="str">
        <f>VLOOKUP(C192,teams_owners!A:B,2,FALSE)</f>
        <v>Nathan</v>
      </c>
      <c r="E192" s="25">
        <v>113.74</v>
      </c>
      <c r="F192" s="23" t="s">
        <v>38</v>
      </c>
      <c r="G192" s="24" t="str">
        <f>VLOOKUP(F192,teams_owners!A:B,2,FALSE)</f>
        <v>Fiona Kerry</v>
      </c>
      <c r="H192" s="25">
        <v>115.6</v>
      </c>
    </row>
    <row r="193" spans="1:8" ht="14.25" customHeight="1" x14ac:dyDescent="0.25">
      <c r="A193" s="23" t="s">
        <v>16</v>
      </c>
      <c r="B193" s="23" t="s">
        <v>54</v>
      </c>
      <c r="C193" s="23" t="s">
        <v>17</v>
      </c>
      <c r="D193" s="24" t="str">
        <f>VLOOKUP(C193,teams_owners!A:B,2,FALSE)</f>
        <v>Rob Taylor</v>
      </c>
      <c r="E193" s="25">
        <v>106.22</v>
      </c>
      <c r="F193" s="23" t="s">
        <v>45</v>
      </c>
      <c r="G193" s="24" t="str">
        <f>VLOOKUP(F193,teams_owners!A:B,2,FALSE)</f>
        <v>Adam Wilko</v>
      </c>
      <c r="H193" s="25">
        <v>122.44</v>
      </c>
    </row>
    <row r="194" spans="1:8" ht="14.25" customHeight="1" x14ac:dyDescent="0.25">
      <c r="A194" s="23" t="s">
        <v>16</v>
      </c>
      <c r="B194" s="23" t="s">
        <v>54</v>
      </c>
      <c r="C194" s="23" t="s">
        <v>37</v>
      </c>
      <c r="D194" s="24" t="str">
        <f>VLOOKUP(C194,teams_owners!A:B,2,FALSE)</f>
        <v>Rich Andrew</v>
      </c>
      <c r="E194" s="25">
        <v>108.14</v>
      </c>
      <c r="F194" s="23" t="s">
        <v>53</v>
      </c>
      <c r="G194" s="24" t="str">
        <f>VLOOKUP(F194,teams_owners!A:B,2,FALSE)</f>
        <v xml:space="preserve">Charlie Hauton </v>
      </c>
      <c r="H194" s="25">
        <v>76.14</v>
      </c>
    </row>
    <row r="195" spans="1:8" ht="14.25" customHeight="1" x14ac:dyDescent="0.25">
      <c r="A195" s="23" t="s">
        <v>16</v>
      </c>
      <c r="B195" s="23" t="s">
        <v>54</v>
      </c>
      <c r="C195" s="23" t="s">
        <v>40</v>
      </c>
      <c r="D195" s="24" t="str">
        <f>VLOOKUP(C195,teams_owners!A:B,2,FALSE)</f>
        <v>Greg Mitchell</v>
      </c>
      <c r="E195" s="25">
        <v>83.14</v>
      </c>
      <c r="F195" s="23" t="s">
        <v>18</v>
      </c>
      <c r="G195" s="24" t="str">
        <f>VLOOKUP(F195,teams_owners!A:B,2,FALSE)</f>
        <v>Luc Chignell</v>
      </c>
      <c r="H195" s="25">
        <v>99.66</v>
      </c>
    </row>
    <row r="196" spans="1:8" ht="14.25" customHeight="1" x14ac:dyDescent="0.25">
      <c r="A196" s="23" t="s">
        <v>16</v>
      </c>
      <c r="B196" s="23" t="s">
        <v>54</v>
      </c>
      <c r="C196" s="23" t="s">
        <v>38</v>
      </c>
      <c r="D196" s="24" t="str">
        <f>VLOOKUP(C196,teams_owners!A:B,2,FALSE)</f>
        <v>Fiona Kerry</v>
      </c>
      <c r="E196" s="25">
        <v>86.84</v>
      </c>
      <c r="F196" s="23" t="s">
        <v>42</v>
      </c>
      <c r="G196" s="24" t="str">
        <f>VLOOKUP(F196,teams_owners!A:B,2,FALSE)</f>
        <v>Dave Bracegirdle</v>
      </c>
      <c r="H196" s="25">
        <v>83.22</v>
      </c>
    </row>
    <row r="197" spans="1:8" ht="14.25" customHeight="1" x14ac:dyDescent="0.25">
      <c r="A197" s="23" t="s">
        <v>16</v>
      </c>
      <c r="B197" s="23" t="s">
        <v>54</v>
      </c>
      <c r="C197" s="23" t="s">
        <v>32</v>
      </c>
      <c r="D197" s="24" t="str">
        <f>VLOOKUP(C197,teams_owners!A:B,2,FALSE)</f>
        <v>Nathan</v>
      </c>
      <c r="E197" s="25">
        <v>82.36</v>
      </c>
      <c r="F197" s="23" t="s">
        <v>47</v>
      </c>
      <c r="G197" s="24" t="str">
        <f>VLOOKUP(F197,teams_owners!A:B,2,FALSE)</f>
        <v>Rob Connet</v>
      </c>
      <c r="H197" s="25">
        <v>99.3</v>
      </c>
    </row>
    <row r="198" spans="1:8" ht="14.25" customHeight="1" x14ac:dyDescent="0.25">
      <c r="A198" s="23" t="s">
        <v>16</v>
      </c>
      <c r="B198" s="23" t="s">
        <v>55</v>
      </c>
      <c r="C198" s="23" t="s">
        <v>17</v>
      </c>
      <c r="D198" s="24" t="str">
        <f>VLOOKUP(C198,teams_owners!A:B,2,FALSE)</f>
        <v>Rob Taylor</v>
      </c>
      <c r="E198" s="25">
        <v>113.4</v>
      </c>
      <c r="F198" s="23" t="s">
        <v>32</v>
      </c>
      <c r="G198" s="24" t="str">
        <f>VLOOKUP(F198,teams_owners!A:B,2,FALSE)</f>
        <v>Nathan</v>
      </c>
      <c r="H198" s="25">
        <v>80</v>
      </c>
    </row>
    <row r="199" spans="1:8" ht="14.25" customHeight="1" x14ac:dyDescent="0.25">
      <c r="A199" s="23" t="s">
        <v>16</v>
      </c>
      <c r="B199" s="23" t="s">
        <v>55</v>
      </c>
      <c r="C199" s="23" t="s">
        <v>40</v>
      </c>
      <c r="D199" s="24" t="str">
        <f>VLOOKUP(C199,teams_owners!A:B,2,FALSE)</f>
        <v>Greg Mitchell</v>
      </c>
      <c r="E199" s="25">
        <v>152.4</v>
      </c>
      <c r="F199" s="23" t="s">
        <v>37</v>
      </c>
      <c r="G199" s="24" t="str">
        <f>VLOOKUP(F199,teams_owners!A:B,2,FALSE)</f>
        <v>Rich Andrew</v>
      </c>
      <c r="H199" s="25">
        <v>152.47999999999999</v>
      </c>
    </row>
    <row r="200" spans="1:8" ht="14.25" customHeight="1" x14ac:dyDescent="0.25">
      <c r="A200" s="23" t="s">
        <v>16</v>
      </c>
      <c r="B200" s="23" t="s">
        <v>55</v>
      </c>
      <c r="C200" s="23" t="s">
        <v>53</v>
      </c>
      <c r="D200" s="24" t="str">
        <f>VLOOKUP(C200,teams_owners!A:B,2,FALSE)</f>
        <v xml:space="preserve">Charlie Hauton </v>
      </c>
      <c r="E200" s="25">
        <v>140.18</v>
      </c>
      <c r="F200" s="23" t="s">
        <v>45</v>
      </c>
      <c r="G200" s="24" t="str">
        <f>VLOOKUP(F200,teams_owners!A:B,2,FALSE)</f>
        <v>Adam Wilko</v>
      </c>
      <c r="H200" s="25">
        <v>70.5</v>
      </c>
    </row>
    <row r="201" spans="1:8" ht="14.25" customHeight="1" x14ac:dyDescent="0.25">
      <c r="A201" s="23" t="s">
        <v>16</v>
      </c>
      <c r="B201" s="23" t="s">
        <v>55</v>
      </c>
      <c r="C201" s="23" t="s">
        <v>18</v>
      </c>
      <c r="D201" s="24" t="str">
        <f>VLOOKUP(C201,teams_owners!A:B,2,FALSE)</f>
        <v>Luc Chignell</v>
      </c>
      <c r="E201" s="25">
        <v>129.36000000000001</v>
      </c>
      <c r="F201" s="23" t="s">
        <v>38</v>
      </c>
      <c r="G201" s="24" t="str">
        <f>VLOOKUP(F201,teams_owners!A:B,2,FALSE)</f>
        <v>Fiona Kerry</v>
      </c>
      <c r="H201" s="25">
        <v>125.42</v>
      </c>
    </row>
    <row r="202" spans="1:8" ht="14.25" customHeight="1" x14ac:dyDescent="0.25">
      <c r="A202" s="23" t="s">
        <v>16</v>
      </c>
      <c r="B202" s="23" t="s">
        <v>55</v>
      </c>
      <c r="C202" s="23" t="s">
        <v>42</v>
      </c>
      <c r="D202" s="24" t="str">
        <f>VLOOKUP(C202,teams_owners!A:B,2,FALSE)</f>
        <v>Dave Bracegirdle</v>
      </c>
      <c r="E202" s="25">
        <v>130.96</v>
      </c>
      <c r="F202" s="23" t="s">
        <v>47</v>
      </c>
      <c r="G202" s="24" t="str">
        <f>VLOOKUP(F202,teams_owners!A:B,2,FALSE)</f>
        <v>Rob Connet</v>
      </c>
      <c r="H202" s="25">
        <v>112.36</v>
      </c>
    </row>
    <row r="203" spans="1:8" ht="14.25" customHeight="1" x14ac:dyDescent="0.25">
      <c r="A203" s="23" t="s">
        <v>16</v>
      </c>
      <c r="B203" s="23" t="s">
        <v>77</v>
      </c>
      <c r="C203" s="23" t="s">
        <v>17</v>
      </c>
      <c r="D203" s="24" t="str">
        <f>VLOOKUP(C203,teams_owners!A:B,2,FALSE)</f>
        <v>Rob Taylor</v>
      </c>
      <c r="E203" s="25">
        <v>91.64</v>
      </c>
      <c r="F203" s="23" t="s">
        <v>42</v>
      </c>
      <c r="G203" s="24" t="str">
        <f>VLOOKUP(F203,teams_owners!A:B,2,FALSE)</f>
        <v>Dave Bracegirdle</v>
      </c>
      <c r="H203" s="25">
        <v>103.34</v>
      </c>
    </row>
    <row r="204" spans="1:8" ht="14.25" customHeight="1" x14ac:dyDescent="0.25">
      <c r="A204" s="23" t="s">
        <v>16</v>
      </c>
      <c r="B204" s="23" t="s">
        <v>77</v>
      </c>
      <c r="C204" s="23" t="s">
        <v>37</v>
      </c>
      <c r="D204" s="24" t="str">
        <f>VLOOKUP(C204,teams_owners!A:B,2,FALSE)</f>
        <v>Rich Andrew</v>
      </c>
      <c r="E204" s="25">
        <v>130.24</v>
      </c>
      <c r="F204" s="23" t="s">
        <v>45</v>
      </c>
      <c r="G204" s="24" t="str">
        <f>VLOOKUP(F204,teams_owners!A:B,2,FALSE)</f>
        <v>Adam Wilko</v>
      </c>
      <c r="H204" s="25">
        <v>121</v>
      </c>
    </row>
    <row r="205" spans="1:8" ht="14.25" customHeight="1" x14ac:dyDescent="0.25">
      <c r="A205" s="23" t="s">
        <v>16</v>
      </c>
      <c r="B205" s="23" t="s">
        <v>77</v>
      </c>
      <c r="C205" s="23" t="s">
        <v>38</v>
      </c>
      <c r="D205" s="24" t="str">
        <f>VLOOKUP(C205,teams_owners!A:B,2,FALSE)</f>
        <v>Fiona Kerry</v>
      </c>
      <c r="E205" s="25">
        <v>80.599999999999994</v>
      </c>
      <c r="F205" s="23" t="s">
        <v>40</v>
      </c>
      <c r="G205" s="24" t="str">
        <f>VLOOKUP(F205,teams_owners!A:B,2,FALSE)</f>
        <v>Greg Mitchell</v>
      </c>
      <c r="H205" s="25">
        <v>170.18</v>
      </c>
    </row>
    <row r="206" spans="1:8" ht="14.25" customHeight="1" x14ac:dyDescent="0.25">
      <c r="A206" s="23" t="s">
        <v>16</v>
      </c>
      <c r="B206" s="23" t="s">
        <v>77</v>
      </c>
      <c r="C206" s="23" t="s">
        <v>32</v>
      </c>
      <c r="D206" s="24" t="str">
        <f>VLOOKUP(C206,teams_owners!A:B,2,FALSE)</f>
        <v>Nathan</v>
      </c>
      <c r="E206" s="25">
        <v>141</v>
      </c>
      <c r="F206" s="23" t="s">
        <v>53</v>
      </c>
      <c r="G206" s="24" t="str">
        <f>VLOOKUP(F206,teams_owners!A:B,2,FALSE)</f>
        <v xml:space="preserve">Charlie Hauton </v>
      </c>
      <c r="H206" s="25">
        <v>101.12</v>
      </c>
    </row>
    <row r="207" spans="1:8" ht="14.25" customHeight="1" x14ac:dyDescent="0.25">
      <c r="A207" s="23" t="s">
        <v>16</v>
      </c>
      <c r="B207" s="23" t="s">
        <v>77</v>
      </c>
      <c r="C207" s="23" t="s">
        <v>47</v>
      </c>
      <c r="D207" s="24" t="str">
        <f>VLOOKUP(C207,teams_owners!A:B,2,FALSE)</f>
        <v>Rob Connet</v>
      </c>
      <c r="E207" s="25">
        <v>93.66</v>
      </c>
      <c r="F207" s="23" t="s">
        <v>18</v>
      </c>
      <c r="G207" s="24" t="str">
        <f>VLOOKUP(F207,teams_owners!A:B,2,FALSE)</f>
        <v>Luc Chignell</v>
      </c>
      <c r="H207" s="25">
        <v>93.48</v>
      </c>
    </row>
    <row r="208" spans="1:8" ht="14.25" customHeight="1" x14ac:dyDescent="0.25">
      <c r="A208" s="23" t="s">
        <v>16</v>
      </c>
      <c r="B208" s="23" t="s">
        <v>84</v>
      </c>
      <c r="C208" s="23" t="s">
        <v>17</v>
      </c>
      <c r="D208" s="24" t="str">
        <f>VLOOKUP(C208,teams_owners!A:B,2,FALSE)</f>
        <v>Rob Taylor</v>
      </c>
      <c r="E208" s="25">
        <v>135.02000000000001</v>
      </c>
      <c r="F208" s="23" t="s">
        <v>18</v>
      </c>
      <c r="G208" s="24" t="str">
        <f>VLOOKUP(F208,teams_owners!A:B,2,FALSE)</f>
        <v>Luc Chignell</v>
      </c>
      <c r="H208" s="25">
        <v>104.06</v>
      </c>
    </row>
    <row r="209" spans="1:8" ht="14.25" customHeight="1" x14ac:dyDescent="0.25">
      <c r="A209" s="23" t="s">
        <v>16</v>
      </c>
      <c r="B209" s="23" t="s">
        <v>84</v>
      </c>
      <c r="C209" s="23" t="s">
        <v>38</v>
      </c>
      <c r="D209" s="24" t="str">
        <f>VLOOKUP(C209,teams_owners!A:B,2,FALSE)</f>
        <v>Fiona Kerry</v>
      </c>
      <c r="E209" s="25">
        <v>118.88</v>
      </c>
      <c r="F209" s="23" t="s">
        <v>37</v>
      </c>
      <c r="G209" s="24" t="str">
        <f>VLOOKUP(F209,teams_owners!A:B,2,FALSE)</f>
        <v>Rich Andrew</v>
      </c>
      <c r="H209" s="25">
        <v>139.56</v>
      </c>
    </row>
    <row r="210" spans="1:8" ht="14.25" customHeight="1" x14ac:dyDescent="0.25">
      <c r="A210" s="23" t="s">
        <v>16</v>
      </c>
      <c r="B210" s="23" t="s">
        <v>84</v>
      </c>
      <c r="C210" s="23" t="s">
        <v>45</v>
      </c>
      <c r="D210" s="24" t="str">
        <f>VLOOKUP(C210,teams_owners!A:B,2,FALSE)</f>
        <v>Adam Wilko</v>
      </c>
      <c r="E210" s="25">
        <v>103.8</v>
      </c>
      <c r="F210" s="23" t="s">
        <v>32</v>
      </c>
      <c r="G210" s="24" t="str">
        <f>VLOOKUP(F210,teams_owners!A:B,2,FALSE)</f>
        <v>Nathan</v>
      </c>
      <c r="H210" s="25">
        <v>94.92</v>
      </c>
    </row>
    <row r="211" spans="1:8" ht="14.25" customHeight="1" x14ac:dyDescent="0.25">
      <c r="A211" s="23" t="s">
        <v>16</v>
      </c>
      <c r="B211" s="23" t="s">
        <v>84</v>
      </c>
      <c r="C211" s="23" t="s">
        <v>40</v>
      </c>
      <c r="D211" s="24" t="str">
        <f>VLOOKUP(C211,teams_owners!A:B,2,FALSE)</f>
        <v>Greg Mitchell</v>
      </c>
      <c r="E211" s="25">
        <v>101.82</v>
      </c>
      <c r="F211" s="23" t="s">
        <v>47</v>
      </c>
      <c r="G211" s="24" t="str">
        <f>VLOOKUP(F211,teams_owners!A:B,2,FALSE)</f>
        <v>Rob Connet</v>
      </c>
      <c r="H211" s="25">
        <v>97.68</v>
      </c>
    </row>
    <row r="212" spans="1:8" ht="14.25" customHeight="1" x14ac:dyDescent="0.25">
      <c r="A212" s="23" t="s">
        <v>16</v>
      </c>
      <c r="B212" s="23" t="s">
        <v>84</v>
      </c>
      <c r="C212" s="23" t="s">
        <v>53</v>
      </c>
      <c r="D212" s="24" t="str">
        <f>VLOOKUP(C212,teams_owners!A:B,2,FALSE)</f>
        <v xml:space="preserve">Charlie Hauton </v>
      </c>
      <c r="E212" s="25">
        <v>115.68</v>
      </c>
      <c r="F212" s="23" t="s">
        <v>42</v>
      </c>
      <c r="G212" s="24" t="str">
        <f>VLOOKUP(F212,teams_owners!A:B,2,FALSE)</f>
        <v>Dave Bracegirdle</v>
      </c>
      <c r="H212" s="25">
        <v>74.52</v>
      </c>
    </row>
    <row r="213" spans="1:8" ht="14.25" customHeight="1" x14ac:dyDescent="0.25">
      <c r="A213" s="23" t="s">
        <v>16</v>
      </c>
      <c r="B213" s="23" t="s">
        <v>39</v>
      </c>
      <c r="C213" s="23" t="s">
        <v>17</v>
      </c>
      <c r="D213" s="24" t="str">
        <f>VLOOKUP(C213,teams_owners!A:B,2,FALSE)</f>
        <v>Rob Taylor</v>
      </c>
      <c r="E213" s="25">
        <v>111.98</v>
      </c>
      <c r="F213" s="23" t="s">
        <v>40</v>
      </c>
      <c r="G213" s="24" t="str">
        <f>VLOOKUP(F213,teams_owners!A:B,2,FALSE)</f>
        <v>Greg Mitchell</v>
      </c>
      <c r="H213" s="25">
        <v>98.36</v>
      </c>
    </row>
    <row r="214" spans="1:8" ht="14.25" customHeight="1" x14ac:dyDescent="0.25">
      <c r="A214" s="23" t="s">
        <v>16</v>
      </c>
      <c r="B214" s="23" t="s">
        <v>39</v>
      </c>
      <c r="C214" s="23" t="s">
        <v>37</v>
      </c>
      <c r="D214" s="24" t="str">
        <f>VLOOKUP(C214,teams_owners!A:B,2,FALSE)</f>
        <v>Rich Andrew</v>
      </c>
      <c r="E214" s="25">
        <v>110.76</v>
      </c>
      <c r="F214" s="23" t="s">
        <v>32</v>
      </c>
      <c r="G214" s="24" t="str">
        <f>VLOOKUP(F214,teams_owners!A:B,2,FALSE)</f>
        <v>Nathan</v>
      </c>
      <c r="H214" s="25">
        <v>105.22</v>
      </c>
    </row>
    <row r="215" spans="1:8" ht="14.25" customHeight="1" x14ac:dyDescent="0.25">
      <c r="A215" s="23" t="s">
        <v>16</v>
      </c>
      <c r="B215" s="23" t="s">
        <v>39</v>
      </c>
      <c r="C215" s="23" t="s">
        <v>47</v>
      </c>
      <c r="D215" s="24" t="str">
        <f>VLOOKUP(C215,teams_owners!A:B,2,FALSE)</f>
        <v>Rob Connet</v>
      </c>
      <c r="E215" s="25">
        <v>119.54</v>
      </c>
      <c r="F215" s="23" t="s">
        <v>38</v>
      </c>
      <c r="G215" s="24" t="str">
        <f>VLOOKUP(F215,teams_owners!A:B,2,FALSE)</f>
        <v>Fiona Kerry</v>
      </c>
      <c r="H215" s="25">
        <v>101.34</v>
      </c>
    </row>
    <row r="216" spans="1:8" ht="14.25" customHeight="1" x14ac:dyDescent="0.25">
      <c r="A216" s="23" t="s">
        <v>16</v>
      </c>
      <c r="B216" s="23" t="s">
        <v>39</v>
      </c>
      <c r="C216" s="23" t="s">
        <v>42</v>
      </c>
      <c r="D216" s="24" t="str">
        <f>VLOOKUP(C216,teams_owners!A:B,2,FALSE)</f>
        <v>Dave Bracegirdle</v>
      </c>
      <c r="E216" s="25">
        <v>74.56</v>
      </c>
      <c r="F216" s="23" t="s">
        <v>45</v>
      </c>
      <c r="G216" s="24" t="str">
        <f>VLOOKUP(F216,teams_owners!A:B,2,FALSE)</f>
        <v>Adam Wilko</v>
      </c>
      <c r="H216" s="25">
        <v>84.38</v>
      </c>
    </row>
    <row r="217" spans="1:8" ht="14.25" customHeight="1" x14ac:dyDescent="0.25">
      <c r="A217" s="23" t="s">
        <v>16</v>
      </c>
      <c r="B217" s="23" t="s">
        <v>39</v>
      </c>
      <c r="C217" s="23" t="s">
        <v>18</v>
      </c>
      <c r="D217" s="24" t="str">
        <f>VLOOKUP(C217,teams_owners!A:B,2,FALSE)</f>
        <v>Luc Chignell</v>
      </c>
      <c r="E217" s="25">
        <v>102.56</v>
      </c>
      <c r="F217" s="23" t="s">
        <v>53</v>
      </c>
      <c r="G217" s="24" t="str">
        <f>VLOOKUP(F217,teams_owners!A:B,2,FALSE)</f>
        <v xml:space="preserve">Charlie Hauton </v>
      </c>
      <c r="H217" s="25">
        <v>55.2</v>
      </c>
    </row>
    <row r="218" spans="1:8" ht="14.25" customHeight="1" x14ac:dyDescent="0.25">
      <c r="A218" s="23" t="s">
        <v>16</v>
      </c>
      <c r="B218" s="23" t="s">
        <v>62</v>
      </c>
      <c r="C218" s="23" t="s">
        <v>17</v>
      </c>
      <c r="D218" s="24" t="str">
        <f>VLOOKUP(C218,teams_owners!A:B,2,FALSE)</f>
        <v>Rob Taylor</v>
      </c>
      <c r="E218" s="25">
        <v>160.16</v>
      </c>
      <c r="F218" s="23" t="s">
        <v>38</v>
      </c>
      <c r="G218" s="24" t="str">
        <f>VLOOKUP(F218,teams_owners!A:B,2,FALSE)</f>
        <v>Fiona Kerry</v>
      </c>
      <c r="H218" s="25">
        <v>87.04</v>
      </c>
    </row>
    <row r="219" spans="1:8" ht="14.25" customHeight="1" x14ac:dyDescent="0.25">
      <c r="A219" s="23" t="s">
        <v>16</v>
      </c>
      <c r="B219" s="23" t="s">
        <v>62</v>
      </c>
      <c r="C219" s="23" t="s">
        <v>47</v>
      </c>
      <c r="D219" s="24" t="str">
        <f>VLOOKUP(C219,teams_owners!A:B,2,FALSE)</f>
        <v>Rob Connet</v>
      </c>
      <c r="E219" s="25">
        <v>86.5</v>
      </c>
      <c r="F219" s="23" t="s">
        <v>37</v>
      </c>
      <c r="G219" s="24" t="str">
        <f>VLOOKUP(F219,teams_owners!A:B,2,FALSE)</f>
        <v>Rich Andrew</v>
      </c>
      <c r="H219" s="25">
        <v>129.63999999999999</v>
      </c>
    </row>
    <row r="220" spans="1:8" ht="14.25" customHeight="1" x14ac:dyDescent="0.25">
      <c r="A220" s="23" t="s">
        <v>16</v>
      </c>
      <c r="B220" s="23" t="s">
        <v>62</v>
      </c>
      <c r="C220" s="23" t="s">
        <v>32</v>
      </c>
      <c r="D220" s="24" t="str">
        <f>VLOOKUP(C220,teams_owners!A:B,2,FALSE)</f>
        <v>Nathan</v>
      </c>
      <c r="E220" s="25">
        <v>61.84</v>
      </c>
      <c r="F220" s="23" t="s">
        <v>42</v>
      </c>
      <c r="G220" s="24" t="str">
        <f>VLOOKUP(F220,teams_owners!A:B,2,FALSE)</f>
        <v>Dave Bracegirdle</v>
      </c>
      <c r="H220" s="25">
        <v>87.52</v>
      </c>
    </row>
    <row r="221" spans="1:8" ht="14.25" customHeight="1" x14ac:dyDescent="0.25">
      <c r="A221" s="23" t="s">
        <v>16</v>
      </c>
      <c r="B221" s="23" t="s">
        <v>62</v>
      </c>
      <c r="C221" s="23" t="s">
        <v>45</v>
      </c>
      <c r="D221" s="24" t="str">
        <f>VLOOKUP(C221,teams_owners!A:B,2,FALSE)</f>
        <v>Adam Wilko</v>
      </c>
      <c r="E221" s="25">
        <v>93.18</v>
      </c>
      <c r="F221" s="23" t="s">
        <v>18</v>
      </c>
      <c r="G221" s="24" t="str">
        <f>VLOOKUP(F221,teams_owners!A:B,2,FALSE)</f>
        <v>Luc Chignell</v>
      </c>
      <c r="H221" s="25">
        <v>86.3</v>
      </c>
    </row>
    <row r="222" spans="1:8" ht="14.25" customHeight="1" x14ac:dyDescent="0.25">
      <c r="A222" s="23" t="s">
        <v>16</v>
      </c>
      <c r="B222" s="23" t="s">
        <v>62</v>
      </c>
      <c r="C222" s="23" t="s">
        <v>40</v>
      </c>
      <c r="D222" s="24" t="str">
        <f>VLOOKUP(C222,teams_owners!A:B,2,FALSE)</f>
        <v>Greg Mitchell</v>
      </c>
      <c r="E222" s="25">
        <v>152.91999999999999</v>
      </c>
      <c r="F222" s="23" t="s">
        <v>53</v>
      </c>
      <c r="G222" s="24" t="str">
        <f>VLOOKUP(F222,teams_owners!A:B,2,FALSE)</f>
        <v xml:space="preserve">Charlie Hauton </v>
      </c>
      <c r="H222" s="25">
        <v>80.900000000000006</v>
      </c>
    </row>
    <row r="223" spans="1:8" ht="14.25" customHeight="1" x14ac:dyDescent="0.25">
      <c r="A223" s="23" t="s">
        <v>16</v>
      </c>
      <c r="B223" s="23" t="s">
        <v>70</v>
      </c>
      <c r="C223" s="23" t="s">
        <v>17</v>
      </c>
      <c r="D223" s="24" t="str">
        <f>VLOOKUP(C223,teams_owners!A:B,2,FALSE)</f>
        <v>Rob Taylor</v>
      </c>
      <c r="E223" s="25">
        <v>75</v>
      </c>
      <c r="F223" s="23" t="s">
        <v>47</v>
      </c>
      <c r="G223" s="24" t="str">
        <f>VLOOKUP(F223,teams_owners!A:B,2,FALSE)</f>
        <v>Rob Connet</v>
      </c>
      <c r="H223" s="25">
        <v>60.92</v>
      </c>
    </row>
    <row r="224" spans="1:8" ht="14.25" customHeight="1" x14ac:dyDescent="0.25">
      <c r="A224" s="23" t="s">
        <v>16</v>
      </c>
      <c r="B224" s="23" t="s">
        <v>70</v>
      </c>
      <c r="C224" s="23" t="s">
        <v>37</v>
      </c>
      <c r="D224" s="24" t="str">
        <f>VLOOKUP(C224,teams_owners!A:B,2,FALSE)</f>
        <v>Rich Andrew</v>
      </c>
      <c r="E224" s="25">
        <v>89.7</v>
      </c>
      <c r="F224" s="23" t="s">
        <v>42</v>
      </c>
      <c r="G224" s="24" t="str">
        <f>VLOOKUP(F224,teams_owners!A:B,2,FALSE)</f>
        <v>Dave Bracegirdle</v>
      </c>
      <c r="H224" s="25">
        <v>121.56</v>
      </c>
    </row>
    <row r="225" spans="1:8" ht="14.25" customHeight="1" x14ac:dyDescent="0.25">
      <c r="A225" s="23" t="s">
        <v>16</v>
      </c>
      <c r="B225" s="23" t="s">
        <v>70</v>
      </c>
      <c r="C225" s="23" t="s">
        <v>18</v>
      </c>
      <c r="D225" s="24" t="str">
        <f>VLOOKUP(C225,teams_owners!A:B,2,FALSE)</f>
        <v>Luc Chignell</v>
      </c>
      <c r="E225" s="25">
        <v>96.44</v>
      </c>
      <c r="F225" s="23" t="s">
        <v>32</v>
      </c>
      <c r="G225" s="24" t="str">
        <f>VLOOKUP(F225,teams_owners!A:B,2,FALSE)</f>
        <v>Nathan</v>
      </c>
      <c r="H225" s="25">
        <v>107.98</v>
      </c>
    </row>
    <row r="226" spans="1:8" ht="14.25" customHeight="1" x14ac:dyDescent="0.25">
      <c r="A226" s="23" t="s">
        <v>16</v>
      </c>
      <c r="B226" s="23" t="s">
        <v>70</v>
      </c>
      <c r="C226" s="23" t="s">
        <v>53</v>
      </c>
      <c r="D226" s="24" t="str">
        <f>VLOOKUP(C226,teams_owners!A:B,2,FALSE)</f>
        <v xml:space="preserve">Charlie Hauton </v>
      </c>
      <c r="E226" s="25">
        <v>105.44</v>
      </c>
      <c r="F226" s="23" t="s">
        <v>38</v>
      </c>
      <c r="G226" s="24" t="str">
        <f>VLOOKUP(F226,teams_owners!A:B,2,FALSE)</f>
        <v>Fiona Kerry</v>
      </c>
      <c r="H226" s="25">
        <v>101.28</v>
      </c>
    </row>
    <row r="227" spans="1:8" ht="14.25" customHeight="1" x14ac:dyDescent="0.25">
      <c r="A227" s="23" t="s">
        <v>16</v>
      </c>
      <c r="B227" s="23" t="s">
        <v>70</v>
      </c>
      <c r="C227" s="23" t="s">
        <v>40</v>
      </c>
      <c r="D227" s="24" t="str">
        <f>VLOOKUP(C227,teams_owners!A:B,2,FALSE)</f>
        <v>Greg Mitchell</v>
      </c>
      <c r="E227" s="25">
        <v>83</v>
      </c>
      <c r="F227" s="23" t="s">
        <v>45</v>
      </c>
      <c r="G227" s="24" t="str">
        <f>VLOOKUP(F227,teams_owners!A:B,2,FALSE)</f>
        <v>Adam Wilko</v>
      </c>
      <c r="H227" s="25">
        <v>125.3</v>
      </c>
    </row>
    <row r="228" spans="1:8" ht="14.25" customHeight="1" x14ac:dyDescent="0.25">
      <c r="A228" s="23" t="s">
        <v>16</v>
      </c>
      <c r="B228" s="23" t="s">
        <v>85</v>
      </c>
      <c r="C228" s="23" t="s">
        <v>17</v>
      </c>
      <c r="D228" s="24" t="str">
        <f>VLOOKUP(C228,teams_owners!A:B,2,FALSE)</f>
        <v>Rob Taylor</v>
      </c>
      <c r="E228" s="25">
        <v>110.6</v>
      </c>
      <c r="F228" s="23" t="s">
        <v>37</v>
      </c>
      <c r="G228" s="24" t="str">
        <f>VLOOKUP(F228,teams_owners!A:B,2,FALSE)</f>
        <v>Rich Andrew</v>
      </c>
      <c r="H228" s="25">
        <v>101.9</v>
      </c>
    </row>
    <row r="229" spans="1:8" ht="14.25" customHeight="1" x14ac:dyDescent="0.25">
      <c r="A229" s="23" t="s">
        <v>16</v>
      </c>
      <c r="B229" s="23" t="s">
        <v>85</v>
      </c>
      <c r="C229" s="23" t="s">
        <v>42</v>
      </c>
      <c r="D229" s="24" t="str">
        <f>VLOOKUP(C229,teams_owners!A:B,2,FALSE)</f>
        <v>Dave Bracegirdle</v>
      </c>
      <c r="E229" s="25">
        <v>88.98</v>
      </c>
      <c r="F229" s="23" t="s">
        <v>18</v>
      </c>
      <c r="G229" s="24" t="str">
        <f>VLOOKUP(F229,teams_owners!A:B,2,FALSE)</f>
        <v>Luc Chignell</v>
      </c>
      <c r="H229" s="25">
        <v>89.86</v>
      </c>
    </row>
    <row r="230" spans="1:8" ht="14.25" customHeight="1" x14ac:dyDescent="0.25">
      <c r="A230" s="23" t="s">
        <v>16</v>
      </c>
      <c r="B230" s="23" t="s">
        <v>85</v>
      </c>
      <c r="C230" s="23" t="s">
        <v>47</v>
      </c>
      <c r="D230" s="24" t="str">
        <f>VLOOKUP(C230,teams_owners!A:B,2,FALSE)</f>
        <v>Rob Connet</v>
      </c>
      <c r="E230" s="25">
        <v>100.58</v>
      </c>
      <c r="F230" s="23" t="s">
        <v>53</v>
      </c>
      <c r="G230" s="24" t="str">
        <f>VLOOKUP(F230,teams_owners!A:B,2,FALSE)</f>
        <v xml:space="preserve">Charlie Hauton </v>
      </c>
      <c r="H230" s="25">
        <v>133.1</v>
      </c>
    </row>
    <row r="231" spans="1:8" ht="14.25" customHeight="1" x14ac:dyDescent="0.25">
      <c r="A231" s="23" t="s">
        <v>16</v>
      </c>
      <c r="B231" s="23" t="s">
        <v>85</v>
      </c>
      <c r="C231" s="23" t="s">
        <v>32</v>
      </c>
      <c r="D231" s="24" t="str">
        <f>VLOOKUP(C231,teams_owners!A:B,2,FALSE)</f>
        <v>Nathan</v>
      </c>
      <c r="E231" s="25">
        <v>83.42</v>
      </c>
      <c r="F231" s="23" t="s">
        <v>40</v>
      </c>
      <c r="G231" s="24" t="str">
        <f>VLOOKUP(F231,teams_owners!A:B,2,FALSE)</f>
        <v>Greg Mitchell</v>
      </c>
      <c r="H231" s="25">
        <v>142.06</v>
      </c>
    </row>
    <row r="232" spans="1:8" ht="14.25" customHeight="1" x14ac:dyDescent="0.25">
      <c r="A232" s="23" t="s">
        <v>16</v>
      </c>
      <c r="B232" s="23" t="s">
        <v>85</v>
      </c>
      <c r="C232" s="23" t="s">
        <v>38</v>
      </c>
      <c r="D232" s="24" t="str">
        <f>VLOOKUP(C232,teams_owners!A:B,2,FALSE)</f>
        <v>Fiona Kerry</v>
      </c>
      <c r="E232" s="25">
        <v>106.96</v>
      </c>
      <c r="F232" s="23" t="s">
        <v>45</v>
      </c>
      <c r="G232" s="24" t="str">
        <f>VLOOKUP(F232,teams_owners!A:B,2,FALSE)</f>
        <v>Adam Wilko</v>
      </c>
      <c r="H232" s="25">
        <v>96.32</v>
      </c>
    </row>
    <row r="233" spans="1:8" ht="14.25" customHeight="1" x14ac:dyDescent="0.25">
      <c r="A233" s="23" t="s">
        <v>16</v>
      </c>
      <c r="B233" s="23" t="s">
        <v>75</v>
      </c>
      <c r="C233" s="23" t="s">
        <v>17</v>
      </c>
      <c r="D233" s="24" t="str">
        <f>VLOOKUP(C233,teams_owners!A:B,2,FALSE)</f>
        <v>Rob Taylor</v>
      </c>
      <c r="E233" s="25">
        <v>169.28</v>
      </c>
      <c r="F233" s="23" t="s">
        <v>18</v>
      </c>
      <c r="G233" s="24" t="str">
        <f>VLOOKUP(F233,teams_owners!A:B,2,FALSE)</f>
        <v>Luc Chignell</v>
      </c>
      <c r="H233" s="25">
        <v>103.08</v>
      </c>
    </row>
    <row r="234" spans="1:8" ht="14.25" customHeight="1" x14ac:dyDescent="0.25">
      <c r="A234" s="23" t="s">
        <v>16</v>
      </c>
      <c r="B234" s="23" t="s">
        <v>75</v>
      </c>
      <c r="C234" s="23" t="s">
        <v>40</v>
      </c>
      <c r="D234" s="24" t="str">
        <f>VLOOKUP(C234,teams_owners!A:B,2,FALSE)</f>
        <v>Greg Mitchell</v>
      </c>
      <c r="E234" s="25">
        <v>167</v>
      </c>
      <c r="F234" s="23" t="s">
        <v>42</v>
      </c>
      <c r="G234" s="24" t="str">
        <f>VLOOKUP(F234,teams_owners!A:B,2,FALSE)</f>
        <v>Dave Bracegirdle</v>
      </c>
      <c r="H234" s="25">
        <v>76.22</v>
      </c>
    </row>
    <row r="235" spans="1:8" ht="14.25" customHeight="1" x14ac:dyDescent="0.25">
      <c r="A235" s="23" t="s">
        <v>16</v>
      </c>
      <c r="B235" s="23" t="s">
        <v>75</v>
      </c>
      <c r="C235" s="23" t="s">
        <v>53</v>
      </c>
      <c r="D235" s="24" t="str">
        <f>VLOOKUP(C235,teams_owners!A:B,2,FALSE)</f>
        <v xml:space="preserve">Charlie Hauton </v>
      </c>
      <c r="E235" s="25">
        <v>110.84</v>
      </c>
      <c r="F235" s="23" t="s">
        <v>45</v>
      </c>
      <c r="G235" s="24" t="str">
        <f>VLOOKUP(F235,teams_owners!A:B,2,FALSE)</f>
        <v>Adam Wilko</v>
      </c>
      <c r="H235" s="25">
        <v>92.5</v>
      </c>
    </row>
    <row r="236" spans="1:8" ht="14.25" customHeight="1" x14ac:dyDescent="0.25">
      <c r="A236" s="23" t="s">
        <v>16</v>
      </c>
      <c r="B236" s="23" t="s">
        <v>75</v>
      </c>
      <c r="C236" s="23" t="s">
        <v>37</v>
      </c>
      <c r="D236" s="24" t="str">
        <f>VLOOKUP(C236,teams_owners!A:B,2,FALSE)</f>
        <v>Rich Andrew</v>
      </c>
      <c r="E236" s="25">
        <v>156.34</v>
      </c>
      <c r="F236" s="23" t="s">
        <v>47</v>
      </c>
      <c r="G236" s="24" t="str">
        <f>VLOOKUP(F236,teams_owners!A:B,2,FALSE)</f>
        <v>Rob Connet</v>
      </c>
      <c r="H236" s="25">
        <v>105.16</v>
      </c>
    </row>
    <row r="237" spans="1:8" ht="14.25" customHeight="1" x14ac:dyDescent="0.25">
      <c r="A237" s="23" t="s">
        <v>16</v>
      </c>
      <c r="B237" s="23" t="s">
        <v>80</v>
      </c>
      <c r="C237" s="23" t="s">
        <v>17</v>
      </c>
      <c r="D237" s="24" t="str">
        <f>VLOOKUP(C237,teams_owners!A:B,2,FALSE)</f>
        <v>Rob Taylor</v>
      </c>
      <c r="E237" s="25">
        <v>99.82</v>
      </c>
      <c r="F237" s="23" t="s">
        <v>37</v>
      </c>
      <c r="G237" s="24" t="str">
        <f>VLOOKUP(F237,teams_owners!A:B,2,FALSE)</f>
        <v>Rich Andrew</v>
      </c>
      <c r="H237" s="25">
        <v>112.36</v>
      </c>
    </row>
    <row r="238" spans="1:8" ht="14.25" customHeight="1" x14ac:dyDescent="0.25">
      <c r="A238" s="23" t="s">
        <v>16</v>
      </c>
      <c r="B238" s="23" t="s">
        <v>80</v>
      </c>
      <c r="C238" s="23" t="s">
        <v>40</v>
      </c>
      <c r="D238" s="24" t="str">
        <f>VLOOKUP(C238,teams_owners!A:B,2,FALSE)</f>
        <v>Greg Mitchell</v>
      </c>
      <c r="E238" s="25">
        <v>170.02</v>
      </c>
      <c r="F238" s="23" t="s">
        <v>53</v>
      </c>
      <c r="G238" s="24" t="str">
        <f>VLOOKUP(F238,teams_owners!A:B,2,FALSE)</f>
        <v xml:space="preserve">Charlie Hauton </v>
      </c>
      <c r="H238" s="25">
        <v>81.760000000000005</v>
      </c>
    </row>
    <row r="239" spans="1:8" ht="14.25" customHeight="1" x14ac:dyDescent="0.25">
      <c r="A239" s="23" t="s">
        <v>16</v>
      </c>
      <c r="B239" s="23" t="s">
        <v>80</v>
      </c>
      <c r="C239" s="23" t="s">
        <v>42</v>
      </c>
      <c r="D239" s="24" t="str">
        <f>VLOOKUP(C239,teams_owners!A:B,2,FALSE)</f>
        <v>Dave Bracegirdle</v>
      </c>
      <c r="E239" s="25">
        <v>86.66</v>
      </c>
      <c r="F239" s="23" t="s">
        <v>45</v>
      </c>
      <c r="G239" s="24" t="str">
        <f>VLOOKUP(F239,teams_owners!A:B,2,FALSE)</f>
        <v>Adam Wilko</v>
      </c>
      <c r="H239" s="25">
        <v>86.04</v>
      </c>
    </row>
    <row r="240" spans="1:8" ht="14.25" customHeight="1" x14ac:dyDescent="0.25">
      <c r="A240" s="23" t="s">
        <v>16</v>
      </c>
      <c r="B240" s="23" t="s">
        <v>80</v>
      </c>
      <c r="C240" s="23" t="s">
        <v>47</v>
      </c>
      <c r="D240" s="24" t="str">
        <f>VLOOKUP(C240,teams_owners!A:B,2,FALSE)</f>
        <v>Rob Connet</v>
      </c>
      <c r="E240" s="25">
        <v>108.28</v>
      </c>
      <c r="F240" s="23" t="s">
        <v>18</v>
      </c>
      <c r="G240" s="24" t="str">
        <f>VLOOKUP(F240,teams_owners!A:B,2,FALSE)</f>
        <v>Luc Chignell</v>
      </c>
      <c r="H240" s="25">
        <v>98.4</v>
      </c>
    </row>
    <row r="241" spans="1:8" ht="14.25" customHeight="1" x14ac:dyDescent="0.25">
      <c r="A241" s="23" t="s">
        <v>16</v>
      </c>
      <c r="B241" s="23" t="s">
        <v>31</v>
      </c>
      <c r="C241" s="23" t="s">
        <v>47</v>
      </c>
      <c r="D241" s="24" t="str">
        <f>VLOOKUP(C241,teams_owners!A:B,2,FALSE)</f>
        <v>Rob Connet</v>
      </c>
      <c r="E241" s="25">
        <v>108.28</v>
      </c>
      <c r="F241" s="23" t="s">
        <v>18</v>
      </c>
      <c r="G241" s="24" t="str">
        <f>VLOOKUP(F241,teams_owners!A:B,2,FALSE)</f>
        <v>Luc Chignell</v>
      </c>
      <c r="H241" s="25">
        <v>98.4</v>
      </c>
    </row>
    <row r="242" spans="1:8" ht="14.25" customHeight="1" x14ac:dyDescent="0.25">
      <c r="A242" s="23" t="s">
        <v>16</v>
      </c>
      <c r="B242" s="23" t="s">
        <v>81</v>
      </c>
      <c r="C242" s="23" t="s">
        <v>40</v>
      </c>
      <c r="D242" s="24" t="str">
        <f>VLOOKUP(C242,teams_owners!A:B,2,FALSE)</f>
        <v>Greg Mitchell</v>
      </c>
      <c r="E242" s="25">
        <v>170.02</v>
      </c>
      <c r="F242" s="23" t="s">
        <v>53</v>
      </c>
      <c r="G242" s="24" t="str">
        <f>VLOOKUP(F242,teams_owners!A:B,2,FALSE)</f>
        <v xml:space="preserve">Charlie Hauton </v>
      </c>
      <c r="H242" s="25">
        <v>81.760000000000005</v>
      </c>
    </row>
    <row r="243" spans="1:8" ht="14.25" customHeight="1" x14ac:dyDescent="0.25">
      <c r="A243" s="23" t="s">
        <v>16</v>
      </c>
      <c r="B243" s="23" t="s">
        <v>20</v>
      </c>
      <c r="C243" s="23" t="s">
        <v>42</v>
      </c>
      <c r="D243" s="24" t="str">
        <f>VLOOKUP(C243,teams_owners!A:B,2,FALSE)</f>
        <v>Dave Bracegirdle</v>
      </c>
      <c r="E243" s="25">
        <v>86.66</v>
      </c>
      <c r="F243" s="23" t="s">
        <v>45</v>
      </c>
      <c r="G243" s="24" t="str">
        <f>VLOOKUP(F243,teams_owners!A:B,2,FALSE)</f>
        <v>Adam Wilko</v>
      </c>
      <c r="H243" s="25">
        <v>86.04</v>
      </c>
    </row>
    <row r="244" spans="1:8" ht="14.25" customHeight="1" x14ac:dyDescent="0.25">
      <c r="A244" s="23" t="s">
        <v>16</v>
      </c>
      <c r="B244" s="23" t="s">
        <v>49</v>
      </c>
      <c r="C244" s="23" t="s">
        <v>40</v>
      </c>
      <c r="D244" s="24" t="str">
        <f>VLOOKUP(C244,teams_owners!A:B,2,FALSE)</f>
        <v>Greg Mitchell</v>
      </c>
      <c r="E244" s="25">
        <v>167</v>
      </c>
      <c r="F244" s="23" t="s">
        <v>42</v>
      </c>
      <c r="G244" s="24" t="str">
        <f>VLOOKUP(F244,teams_owners!A:B,2,FALSE)</f>
        <v>Dave Bracegirdle</v>
      </c>
      <c r="H244" s="25">
        <v>76.22</v>
      </c>
    </row>
    <row r="245" spans="1:8" ht="14.25" customHeight="1" x14ac:dyDescent="0.25">
      <c r="A245" s="23" t="s">
        <v>16</v>
      </c>
      <c r="B245" s="23" t="s">
        <v>49</v>
      </c>
      <c r="C245" s="23" t="s">
        <v>53</v>
      </c>
      <c r="D245" s="24" t="str">
        <f>VLOOKUP(C245,teams_owners!A:B,2,FALSE)</f>
        <v xml:space="preserve">Charlie Hauton </v>
      </c>
      <c r="E245" s="25">
        <v>110.84</v>
      </c>
      <c r="F245" s="23" t="s">
        <v>45</v>
      </c>
      <c r="G245" s="24" t="str">
        <f>VLOOKUP(F245,teams_owners!A:B,2,FALSE)</f>
        <v>Adam Wilko</v>
      </c>
      <c r="H245" s="25">
        <v>92.5</v>
      </c>
    </row>
    <row r="246" spans="1:8" ht="14.25" customHeight="1" x14ac:dyDescent="0.25">
      <c r="A246" s="23" t="s">
        <v>16</v>
      </c>
      <c r="B246" s="23" t="s">
        <v>35</v>
      </c>
      <c r="C246" s="23" t="s">
        <v>17</v>
      </c>
      <c r="D246" s="24" t="str">
        <f>VLOOKUP(C246,teams_owners!A:B,2,FALSE)</f>
        <v>Rob Taylor</v>
      </c>
      <c r="E246" s="25">
        <v>99.82</v>
      </c>
      <c r="F246" s="23" t="s">
        <v>37</v>
      </c>
      <c r="G246" s="24" t="str">
        <f>VLOOKUP(F246,teams_owners!A:B,2,FALSE)</f>
        <v>Rich Andrew</v>
      </c>
      <c r="H246" s="25">
        <v>112.36</v>
      </c>
    </row>
    <row r="247" spans="1:8" ht="14.25" customHeight="1" x14ac:dyDescent="0.25">
      <c r="A247" s="23" t="s">
        <v>16</v>
      </c>
      <c r="B247" s="23" t="s">
        <v>89</v>
      </c>
      <c r="C247" s="23" t="s">
        <v>37</v>
      </c>
      <c r="D247" s="24" t="str">
        <f>VLOOKUP(C247,teams_owners!A:B,2,FALSE)</f>
        <v>Rich Andrew</v>
      </c>
      <c r="E247" s="25">
        <v>156.34</v>
      </c>
      <c r="F247" s="23" t="s">
        <v>47</v>
      </c>
      <c r="G247" s="24" t="str">
        <f>VLOOKUP(F247,teams_owners!A:B,2,FALSE)</f>
        <v>Rob Connet</v>
      </c>
      <c r="H247" s="25">
        <v>105.16</v>
      </c>
    </row>
    <row r="248" spans="1:8" ht="14.25" customHeight="1" x14ac:dyDescent="0.25">
      <c r="A248" s="23" t="s">
        <v>16</v>
      </c>
      <c r="B248" s="23" t="s">
        <v>89</v>
      </c>
      <c r="C248" s="23" t="s">
        <v>17</v>
      </c>
      <c r="D248" s="24" t="str">
        <f>VLOOKUP(C248,teams_owners!A:B,2,FALSE)</f>
        <v>Rob Taylor</v>
      </c>
      <c r="E248" s="25">
        <v>169.28</v>
      </c>
      <c r="F248" s="23" t="s">
        <v>18</v>
      </c>
      <c r="G248" s="24" t="str">
        <f>VLOOKUP(F248,teams_owners!A:B,2,FALSE)</f>
        <v>Luc Chignell</v>
      </c>
      <c r="H248" s="25">
        <v>103.05</v>
      </c>
    </row>
    <row r="249" spans="1:8" ht="14.25" customHeight="1" x14ac:dyDescent="0.25">
      <c r="A249" s="23" t="s">
        <v>19</v>
      </c>
      <c r="B249" s="23" t="s">
        <v>8</v>
      </c>
      <c r="C249" s="23" t="s">
        <v>17</v>
      </c>
      <c r="D249" s="24" t="str">
        <f>VLOOKUP(C249,teams_owners!A:B,2,FALSE)</f>
        <v>Rob Taylor</v>
      </c>
      <c r="E249" s="25">
        <v>121.6</v>
      </c>
      <c r="F249" s="23" t="s">
        <v>38</v>
      </c>
      <c r="G249" s="24" t="str">
        <f>VLOOKUP(F249,teams_owners!A:B,2,FALSE)</f>
        <v>Fiona Kerry</v>
      </c>
      <c r="H249" s="25">
        <v>101.22</v>
      </c>
    </row>
    <row r="250" spans="1:8" ht="14.25" customHeight="1" x14ac:dyDescent="0.25">
      <c r="A250" s="23" t="s">
        <v>19</v>
      </c>
      <c r="B250" s="23" t="s">
        <v>8</v>
      </c>
      <c r="C250" s="23" t="s">
        <v>37</v>
      </c>
      <c r="D250" s="24" t="str">
        <f>VLOOKUP(C250,teams_owners!A:B,2,FALSE)</f>
        <v>Rich Andrew</v>
      </c>
      <c r="E250" s="25">
        <v>109.6</v>
      </c>
      <c r="F250" s="23" t="s">
        <v>73</v>
      </c>
      <c r="G250" s="24" t="str">
        <f>VLOOKUP(F250,teams_owners!A:B,2,FALSE)</f>
        <v>Joe Wilko</v>
      </c>
      <c r="H250" s="25">
        <v>125.6</v>
      </c>
    </row>
    <row r="251" spans="1:8" ht="14.25" customHeight="1" x14ac:dyDescent="0.25">
      <c r="A251" s="23" t="s">
        <v>19</v>
      </c>
      <c r="B251" s="23" t="s">
        <v>8</v>
      </c>
      <c r="C251" s="23" t="s">
        <v>45</v>
      </c>
      <c r="D251" s="24" t="str">
        <f>VLOOKUP(C251,teams_owners!A:B,2,FALSE)</f>
        <v>Adam Wilko</v>
      </c>
      <c r="E251" s="25">
        <v>115.88</v>
      </c>
      <c r="F251" s="23" t="s">
        <v>40</v>
      </c>
      <c r="G251" s="24" t="str">
        <f>VLOOKUP(F251,teams_owners!A:B,2,FALSE)</f>
        <v>Greg Mitchell</v>
      </c>
      <c r="H251" s="25">
        <v>137.69999999999999</v>
      </c>
    </row>
    <row r="252" spans="1:8" ht="14.25" customHeight="1" x14ac:dyDescent="0.25">
      <c r="A252" s="23" t="s">
        <v>19</v>
      </c>
      <c r="B252" s="23" t="s">
        <v>8</v>
      </c>
      <c r="C252" s="23" t="s">
        <v>47</v>
      </c>
      <c r="D252" s="24" t="str">
        <f>VLOOKUP(C252,teams_owners!A:B,2,FALSE)</f>
        <v>Rob Connet</v>
      </c>
      <c r="E252" s="25">
        <v>119.3</v>
      </c>
      <c r="F252" s="23" t="s">
        <v>21</v>
      </c>
      <c r="G252" s="24" t="str">
        <f>VLOOKUP(F252,teams_owners!A:B,2,FALSE)</f>
        <v>Luc Chignell</v>
      </c>
      <c r="H252" s="25">
        <v>136.76</v>
      </c>
    </row>
    <row r="253" spans="1:8" ht="14.25" customHeight="1" x14ac:dyDescent="0.25">
      <c r="A253" s="23" t="s">
        <v>19</v>
      </c>
      <c r="B253" s="23" t="s">
        <v>8</v>
      </c>
      <c r="C253" s="23" t="s">
        <v>42</v>
      </c>
      <c r="D253" s="24" t="str">
        <f>VLOOKUP(C253,teams_owners!A:B,2,FALSE)</f>
        <v>Dave Bracegirdle</v>
      </c>
      <c r="E253" s="25">
        <v>128.44</v>
      </c>
      <c r="F253" s="23" t="s">
        <v>23</v>
      </c>
      <c r="G253" s="24" t="str">
        <f>VLOOKUP(F253,teams_owners!A:B,2,FALSE)</f>
        <v>Luc Chignell</v>
      </c>
      <c r="H253" s="25">
        <v>145.84</v>
      </c>
    </row>
    <row r="254" spans="1:8" ht="14.25" customHeight="1" x14ac:dyDescent="0.25">
      <c r="A254" s="23" t="s">
        <v>19</v>
      </c>
      <c r="B254" s="23" t="s">
        <v>6</v>
      </c>
      <c r="C254" s="23" t="s">
        <v>17</v>
      </c>
      <c r="D254" s="24" t="str">
        <f>VLOOKUP(C254,teams_owners!A:B,2,FALSE)</f>
        <v>Rob Taylor</v>
      </c>
      <c r="E254" s="25">
        <v>130.04</v>
      </c>
      <c r="F254" s="23" t="s">
        <v>21</v>
      </c>
      <c r="G254" s="24" t="str">
        <f>VLOOKUP(F254,teams_owners!A:B,2,FALSE)</f>
        <v>Luc Chignell</v>
      </c>
      <c r="H254" s="25">
        <v>113.28</v>
      </c>
    </row>
    <row r="255" spans="1:8" ht="14.25" customHeight="1" x14ac:dyDescent="0.25">
      <c r="A255" s="23" t="s">
        <v>19</v>
      </c>
      <c r="B255" s="23" t="s">
        <v>6</v>
      </c>
      <c r="C255" s="23" t="s">
        <v>37</v>
      </c>
      <c r="D255" s="24" t="str">
        <f>VLOOKUP(C255,teams_owners!A:B,2,FALSE)</f>
        <v>Rich Andrew</v>
      </c>
      <c r="E255" s="25">
        <v>113.8</v>
      </c>
      <c r="F255" s="23" t="s">
        <v>23</v>
      </c>
      <c r="G255" s="24" t="str">
        <f>VLOOKUP(F255,teams_owners!A:B,2,FALSE)</f>
        <v>Luc Chignell</v>
      </c>
      <c r="H255" s="25">
        <v>139.6</v>
      </c>
    </row>
    <row r="256" spans="1:8" ht="14.25" customHeight="1" x14ac:dyDescent="0.25">
      <c r="A256" s="23" t="s">
        <v>19</v>
      </c>
      <c r="B256" s="23" t="s">
        <v>6</v>
      </c>
      <c r="C256" s="23" t="s">
        <v>38</v>
      </c>
      <c r="D256" s="24" t="str">
        <f>VLOOKUP(C256,teams_owners!A:B,2,FALSE)</f>
        <v>Fiona Kerry</v>
      </c>
      <c r="E256" s="25">
        <v>190.3</v>
      </c>
      <c r="F256" s="23" t="s">
        <v>40</v>
      </c>
      <c r="G256" s="24" t="str">
        <f>VLOOKUP(F256,teams_owners!A:B,2,FALSE)</f>
        <v>Greg Mitchell</v>
      </c>
      <c r="H256" s="25">
        <v>124.38</v>
      </c>
    </row>
    <row r="257" spans="1:8" ht="14.25" customHeight="1" x14ac:dyDescent="0.25">
      <c r="A257" s="23" t="s">
        <v>19</v>
      </c>
      <c r="B257" s="23" t="s">
        <v>6</v>
      </c>
      <c r="C257" s="23" t="s">
        <v>45</v>
      </c>
      <c r="D257" s="24" t="str">
        <f>VLOOKUP(C257,teams_owners!A:B,2,FALSE)</f>
        <v>Adam Wilko</v>
      </c>
      <c r="E257" s="25">
        <v>142.91999999999999</v>
      </c>
      <c r="F257" s="23" t="s">
        <v>47</v>
      </c>
      <c r="G257" s="24" t="str">
        <f>VLOOKUP(F257,teams_owners!A:B,2,FALSE)</f>
        <v>Rob Connet</v>
      </c>
      <c r="H257" s="25">
        <v>107.38</v>
      </c>
    </row>
    <row r="258" spans="1:8" ht="14.25" customHeight="1" x14ac:dyDescent="0.25">
      <c r="A258" s="23" t="s">
        <v>19</v>
      </c>
      <c r="B258" s="23" t="s">
        <v>6</v>
      </c>
      <c r="C258" s="23" t="s">
        <v>130</v>
      </c>
      <c r="D258" s="24" t="str">
        <f>VLOOKUP(C258,teams_owners!A:B,2,FALSE)</f>
        <v>Joe Wilko</v>
      </c>
      <c r="E258" s="23" t="s">
        <v>131</v>
      </c>
      <c r="F258" s="23" t="s">
        <v>42</v>
      </c>
      <c r="G258" s="24" t="str">
        <f>VLOOKUP(F258,teams_owners!A:B,2,FALSE)</f>
        <v>Dave Bracegirdle</v>
      </c>
      <c r="H258" s="25">
        <v>136.88</v>
      </c>
    </row>
    <row r="259" spans="1:8" ht="14.25" customHeight="1" x14ac:dyDescent="0.25">
      <c r="A259" s="23" t="s">
        <v>19</v>
      </c>
      <c r="B259" s="23" t="s">
        <v>57</v>
      </c>
      <c r="C259" s="23" t="s">
        <v>17</v>
      </c>
      <c r="D259" s="24" t="str">
        <f>VLOOKUP(C259,teams_owners!A:B,2,FALSE)</f>
        <v>Rob Taylor</v>
      </c>
      <c r="E259" s="25">
        <v>118.7</v>
      </c>
      <c r="F259" s="23" t="s">
        <v>40</v>
      </c>
      <c r="G259" s="24" t="str">
        <f>VLOOKUP(F259,teams_owners!A:B,2,FALSE)</f>
        <v>Greg Mitchell</v>
      </c>
      <c r="H259" s="25">
        <v>136.78</v>
      </c>
    </row>
    <row r="260" spans="1:8" ht="14.25" customHeight="1" x14ac:dyDescent="0.25">
      <c r="A260" s="23" t="s">
        <v>19</v>
      </c>
      <c r="B260" s="23" t="s">
        <v>57</v>
      </c>
      <c r="C260" s="23" t="s">
        <v>37</v>
      </c>
      <c r="D260" s="24" t="str">
        <f>VLOOKUP(C260,teams_owners!A:B,2,FALSE)</f>
        <v>Rich Andrew</v>
      </c>
      <c r="E260" s="23" t="s">
        <v>66</v>
      </c>
      <c r="F260" s="23" t="s">
        <v>42</v>
      </c>
      <c r="G260" s="24" t="str">
        <f>VLOOKUP(F260,teams_owners!A:B,2,FALSE)</f>
        <v>Dave Bracegirdle</v>
      </c>
      <c r="H260" s="25">
        <v>130.69999999999999</v>
      </c>
    </row>
    <row r="261" spans="1:8" ht="14.25" customHeight="1" x14ac:dyDescent="0.25">
      <c r="A261" s="23" t="s">
        <v>19</v>
      </c>
      <c r="B261" s="23" t="s">
        <v>57</v>
      </c>
      <c r="C261" s="23" t="s">
        <v>73</v>
      </c>
      <c r="D261" s="24" t="str">
        <f>VLOOKUP(C261,teams_owners!A:B,2,FALSE)</f>
        <v>Joe Wilko</v>
      </c>
      <c r="E261" s="23" t="s">
        <v>162</v>
      </c>
      <c r="F261" s="23" t="s">
        <v>23</v>
      </c>
      <c r="G261" s="24" t="str">
        <f>VLOOKUP(F261,teams_owners!A:B,2,FALSE)</f>
        <v>Luc Chignell</v>
      </c>
      <c r="H261" s="25">
        <v>110.38</v>
      </c>
    </row>
    <row r="262" spans="1:8" ht="14.25" customHeight="1" x14ac:dyDescent="0.25">
      <c r="A262" s="23" t="s">
        <v>19</v>
      </c>
      <c r="B262" s="23" t="s">
        <v>57</v>
      </c>
      <c r="C262" s="23" t="s">
        <v>45</v>
      </c>
      <c r="D262" s="24" t="str">
        <f>VLOOKUP(C262,teams_owners!A:B,2,FALSE)</f>
        <v>Adam Wilko</v>
      </c>
      <c r="E262" s="25">
        <v>143.30000000000001</v>
      </c>
      <c r="F262" s="23" t="s">
        <v>21</v>
      </c>
      <c r="G262" s="24" t="str">
        <f>VLOOKUP(F262,teams_owners!A:B,2,FALSE)</f>
        <v>Luc Chignell</v>
      </c>
      <c r="H262" s="25">
        <v>112.58</v>
      </c>
    </row>
    <row r="263" spans="1:8" ht="14.25" customHeight="1" x14ac:dyDescent="0.25">
      <c r="A263" s="23" t="s">
        <v>19</v>
      </c>
      <c r="B263" s="23" t="s">
        <v>57</v>
      </c>
      <c r="C263" s="23" t="s">
        <v>38</v>
      </c>
      <c r="D263" s="24" t="str">
        <f>VLOOKUP(C263,teams_owners!A:B,2,FALSE)</f>
        <v>Fiona Kerry</v>
      </c>
      <c r="E263" s="25">
        <v>128.19999999999999</v>
      </c>
      <c r="F263" s="23" t="s">
        <v>47</v>
      </c>
      <c r="G263" s="24" t="str">
        <f>VLOOKUP(F263,teams_owners!A:B,2,FALSE)</f>
        <v>Rob Connet</v>
      </c>
      <c r="H263" s="25">
        <v>140.91999999999999</v>
      </c>
    </row>
    <row r="264" spans="1:8" ht="14.25" customHeight="1" x14ac:dyDescent="0.25">
      <c r="A264" s="23" t="s">
        <v>19</v>
      </c>
      <c r="B264" s="23" t="s">
        <v>41</v>
      </c>
      <c r="C264" s="23" t="s">
        <v>17</v>
      </c>
      <c r="D264" s="24" t="str">
        <f>VLOOKUP(C264,teams_owners!A:B,2,FALSE)</f>
        <v>Rob Taylor</v>
      </c>
      <c r="E264" s="25">
        <v>146.41999999999999</v>
      </c>
      <c r="F264" s="23" t="s">
        <v>37</v>
      </c>
      <c r="G264" s="24" t="str">
        <f>VLOOKUP(F264,teams_owners!A:B,2,FALSE)</f>
        <v>Rich Andrew</v>
      </c>
      <c r="H264" s="25">
        <v>115.72</v>
      </c>
    </row>
    <row r="265" spans="1:8" ht="14.25" customHeight="1" x14ac:dyDescent="0.25">
      <c r="A265" s="23" t="s">
        <v>19</v>
      </c>
      <c r="B265" s="23" t="s">
        <v>41</v>
      </c>
      <c r="C265" s="23" t="s">
        <v>45</v>
      </c>
      <c r="D265" s="24" t="str">
        <f>VLOOKUP(C265,teams_owners!A:B,2,FALSE)</f>
        <v>Adam Wilko</v>
      </c>
      <c r="E265" s="25">
        <v>126.3</v>
      </c>
      <c r="F265" s="23" t="s">
        <v>42</v>
      </c>
      <c r="G265" s="24" t="str">
        <f>VLOOKUP(F265,teams_owners!A:B,2,FALSE)</f>
        <v>Dave Bracegirdle</v>
      </c>
      <c r="H265" s="25">
        <v>102.34</v>
      </c>
    </row>
    <row r="266" spans="1:8" ht="14.25" customHeight="1" x14ac:dyDescent="0.25">
      <c r="A266" s="23" t="s">
        <v>19</v>
      </c>
      <c r="B266" s="23" t="s">
        <v>41</v>
      </c>
      <c r="C266" s="23" t="s">
        <v>40</v>
      </c>
      <c r="D266" s="24" t="str">
        <f>VLOOKUP(C266,teams_owners!A:B,2,FALSE)</f>
        <v>Greg Mitchell</v>
      </c>
      <c r="E266" s="25">
        <v>106.4</v>
      </c>
      <c r="F266" s="23" t="s">
        <v>23</v>
      </c>
      <c r="G266" s="24" t="str">
        <f>VLOOKUP(F266,teams_owners!A:B,2,FALSE)</f>
        <v>Luc Chignell</v>
      </c>
      <c r="H266" s="25">
        <v>115.58</v>
      </c>
    </row>
    <row r="267" spans="1:8" ht="14.25" customHeight="1" x14ac:dyDescent="0.25">
      <c r="A267" s="23" t="s">
        <v>19</v>
      </c>
      <c r="B267" s="23" t="s">
        <v>41</v>
      </c>
      <c r="C267" s="23" t="s">
        <v>47</v>
      </c>
      <c r="D267" s="24" t="str">
        <f>VLOOKUP(C267,teams_owners!A:B,2,FALSE)</f>
        <v>Rob Connet</v>
      </c>
      <c r="E267" s="25">
        <v>163.44</v>
      </c>
      <c r="F267" s="23" t="s">
        <v>73</v>
      </c>
      <c r="G267" s="24" t="str">
        <f>VLOOKUP(F267,teams_owners!A:B,2,FALSE)</f>
        <v>Joe Wilko</v>
      </c>
      <c r="H267" s="25">
        <v>104.22</v>
      </c>
    </row>
    <row r="268" spans="1:8" ht="14.25" customHeight="1" x14ac:dyDescent="0.25">
      <c r="A268" s="23" t="s">
        <v>19</v>
      </c>
      <c r="B268" s="23" t="s">
        <v>41</v>
      </c>
      <c r="C268" s="23" t="s">
        <v>38</v>
      </c>
      <c r="D268" s="24" t="str">
        <f>VLOOKUP(C268,teams_owners!A:B,2,FALSE)</f>
        <v>Fiona Kerry</v>
      </c>
      <c r="E268" s="25">
        <v>108.5</v>
      </c>
      <c r="F268" s="23" t="s">
        <v>21</v>
      </c>
      <c r="G268" s="24" t="str">
        <f>VLOOKUP(F268,teams_owners!A:B,2,FALSE)</f>
        <v>Luc Chignell</v>
      </c>
      <c r="H268" s="25">
        <v>95.4</v>
      </c>
    </row>
    <row r="269" spans="1:8" ht="14.25" customHeight="1" x14ac:dyDescent="0.25">
      <c r="A269" s="23" t="s">
        <v>19</v>
      </c>
      <c r="B269" s="23" t="s">
        <v>27</v>
      </c>
      <c r="C269" s="23" t="s">
        <v>17</v>
      </c>
      <c r="D269" s="24" t="str">
        <f>VLOOKUP(C269,teams_owners!A:B,2,FALSE)</f>
        <v>Rob Taylor</v>
      </c>
      <c r="E269" s="25">
        <v>123</v>
      </c>
      <c r="F269" s="23" t="s">
        <v>47</v>
      </c>
      <c r="G269" s="24" t="str">
        <f>VLOOKUP(F269,teams_owners!A:B,2,FALSE)</f>
        <v>Rob Connet</v>
      </c>
      <c r="H269" s="25">
        <v>118.4</v>
      </c>
    </row>
    <row r="270" spans="1:8" ht="14.25" customHeight="1" x14ac:dyDescent="0.25">
      <c r="A270" s="23" t="s">
        <v>19</v>
      </c>
      <c r="B270" s="23" t="s">
        <v>27</v>
      </c>
      <c r="C270" s="23" t="s">
        <v>40</v>
      </c>
      <c r="D270" s="24" t="str">
        <f>VLOOKUP(C270,teams_owners!A:B,2,FALSE)</f>
        <v>Greg Mitchell</v>
      </c>
      <c r="E270" s="25">
        <v>111.46</v>
      </c>
      <c r="F270" s="23" t="s">
        <v>42</v>
      </c>
      <c r="G270" s="24" t="str">
        <f>VLOOKUP(F270,teams_owners!A:B,2,FALSE)</f>
        <v>Dave Bracegirdle</v>
      </c>
      <c r="H270" s="25">
        <v>130.72</v>
      </c>
    </row>
    <row r="271" spans="1:8" ht="14.25" customHeight="1" x14ac:dyDescent="0.25">
      <c r="A271" s="23" t="s">
        <v>19</v>
      </c>
      <c r="B271" s="23" t="s">
        <v>27</v>
      </c>
      <c r="C271" s="23" t="s">
        <v>45</v>
      </c>
      <c r="D271" s="24" t="str">
        <f>VLOOKUP(C271,teams_owners!A:B,2,FALSE)</f>
        <v>Adam Wilko</v>
      </c>
      <c r="E271" s="25">
        <v>152.18</v>
      </c>
      <c r="F271" s="23" t="s">
        <v>23</v>
      </c>
      <c r="G271" s="24" t="str">
        <f>VLOOKUP(F271,teams_owners!A:B,2,FALSE)</f>
        <v>Luc Chignell</v>
      </c>
      <c r="H271" s="25">
        <v>132.13999999999999</v>
      </c>
    </row>
    <row r="272" spans="1:8" ht="14.25" customHeight="1" x14ac:dyDescent="0.25">
      <c r="A272" s="23" t="s">
        <v>19</v>
      </c>
      <c r="B272" s="23" t="s">
        <v>27</v>
      </c>
      <c r="C272" s="23" t="s">
        <v>73</v>
      </c>
      <c r="D272" s="24" t="str">
        <f>VLOOKUP(C272,teams_owners!A:B,2,FALSE)</f>
        <v>Joe Wilko</v>
      </c>
      <c r="E272" s="25">
        <v>126.2</v>
      </c>
      <c r="F272" s="23" t="s">
        <v>21</v>
      </c>
      <c r="G272" s="24" t="str">
        <f>VLOOKUP(F272,teams_owners!A:B,2,FALSE)</f>
        <v>Luc Chignell</v>
      </c>
      <c r="H272" s="25">
        <v>59.32</v>
      </c>
    </row>
    <row r="273" spans="1:8" ht="14.25" customHeight="1" x14ac:dyDescent="0.25">
      <c r="A273" s="23" t="s">
        <v>19</v>
      </c>
      <c r="B273" s="23" t="s">
        <v>27</v>
      </c>
      <c r="C273" s="23" t="s">
        <v>37</v>
      </c>
      <c r="D273" s="24" t="str">
        <f>VLOOKUP(C273,teams_owners!A:B,2,FALSE)</f>
        <v>Rich Andrew</v>
      </c>
      <c r="E273" s="25">
        <v>146.82</v>
      </c>
      <c r="F273" s="23" t="s">
        <v>38</v>
      </c>
      <c r="G273" s="24" t="str">
        <f>VLOOKUP(F273,teams_owners!A:B,2,FALSE)</f>
        <v>Fiona Kerry</v>
      </c>
      <c r="H273" s="25">
        <v>109.26</v>
      </c>
    </row>
    <row r="274" spans="1:8" ht="14.25" customHeight="1" x14ac:dyDescent="0.25">
      <c r="A274" s="23" t="s">
        <v>19</v>
      </c>
      <c r="B274" s="23" t="s">
        <v>46</v>
      </c>
      <c r="C274" s="23" t="s">
        <v>17</v>
      </c>
      <c r="D274" s="24" t="str">
        <f>VLOOKUP(C274,teams_owners!A:B,2,FALSE)</f>
        <v>Rob Taylor</v>
      </c>
      <c r="E274" s="25">
        <v>119.72</v>
      </c>
      <c r="F274" s="23" t="s">
        <v>45</v>
      </c>
      <c r="G274" s="24" t="str">
        <f>VLOOKUP(F274,teams_owners!A:B,2,FALSE)</f>
        <v>Adam Wilko</v>
      </c>
      <c r="H274" s="25">
        <v>99.44</v>
      </c>
    </row>
    <row r="275" spans="1:8" ht="14.25" customHeight="1" x14ac:dyDescent="0.25">
      <c r="A275" s="23" t="s">
        <v>19</v>
      </c>
      <c r="B275" s="23" t="s">
        <v>46</v>
      </c>
      <c r="C275" s="23" t="s">
        <v>47</v>
      </c>
      <c r="D275" s="24" t="str">
        <f>VLOOKUP(C275,teams_owners!A:B,2,FALSE)</f>
        <v>Rob Connet</v>
      </c>
      <c r="E275" s="25">
        <v>136.82</v>
      </c>
      <c r="F275" s="23" t="s">
        <v>42</v>
      </c>
      <c r="G275" s="24" t="str">
        <f>VLOOKUP(F275,teams_owners!A:B,2,FALSE)</f>
        <v>Dave Bracegirdle</v>
      </c>
      <c r="H275" s="25">
        <v>125.8</v>
      </c>
    </row>
    <row r="276" spans="1:8" ht="14.25" customHeight="1" x14ac:dyDescent="0.25">
      <c r="A276" s="23" t="s">
        <v>19</v>
      </c>
      <c r="B276" s="23" t="s">
        <v>46</v>
      </c>
      <c r="C276" s="23" t="s">
        <v>21</v>
      </c>
      <c r="D276" s="24" t="str">
        <f>VLOOKUP(C276,teams_owners!A:B,2,FALSE)</f>
        <v>Luc Chignell</v>
      </c>
      <c r="E276" s="25">
        <v>96.34</v>
      </c>
      <c r="F276" s="23" t="s">
        <v>23</v>
      </c>
      <c r="G276" s="24" t="str">
        <f>VLOOKUP(F276,teams_owners!A:B,2,FALSE)</f>
        <v>Luc Chignell</v>
      </c>
      <c r="H276" s="25">
        <v>90.48</v>
      </c>
    </row>
    <row r="277" spans="1:8" ht="14.25" customHeight="1" x14ac:dyDescent="0.25">
      <c r="A277" s="23" t="s">
        <v>19</v>
      </c>
      <c r="B277" s="23" t="s">
        <v>46</v>
      </c>
      <c r="C277" s="23" t="s">
        <v>38</v>
      </c>
      <c r="D277" s="24" t="str">
        <f>VLOOKUP(C277,teams_owners!A:B,2,FALSE)</f>
        <v>Fiona Kerry</v>
      </c>
      <c r="E277" s="25">
        <v>117.9</v>
      </c>
      <c r="F277" s="23" t="s">
        <v>73</v>
      </c>
      <c r="G277" s="24" t="str">
        <f>VLOOKUP(F277,teams_owners!A:B,2,FALSE)</f>
        <v>Joe Wilko</v>
      </c>
      <c r="H277" s="25">
        <v>86.94</v>
      </c>
    </row>
    <row r="278" spans="1:8" ht="14.25" customHeight="1" x14ac:dyDescent="0.25">
      <c r="A278" s="23" t="s">
        <v>19</v>
      </c>
      <c r="B278" s="23" t="s">
        <v>46</v>
      </c>
      <c r="C278" s="23" t="s">
        <v>37</v>
      </c>
      <c r="D278" s="24" t="str">
        <f>VLOOKUP(C278,teams_owners!A:B,2,FALSE)</f>
        <v>Rich Andrew</v>
      </c>
      <c r="E278" s="25">
        <v>101.18</v>
      </c>
      <c r="F278" s="23" t="s">
        <v>40</v>
      </c>
      <c r="G278" s="24" t="str">
        <f>VLOOKUP(F278,teams_owners!A:B,2,FALSE)</f>
        <v>Greg Mitchell</v>
      </c>
      <c r="H278" s="25">
        <v>132.88</v>
      </c>
    </row>
    <row r="279" spans="1:8" ht="14.25" customHeight="1" x14ac:dyDescent="0.25">
      <c r="A279" s="23" t="s">
        <v>19</v>
      </c>
      <c r="B279" s="23" t="s">
        <v>54</v>
      </c>
      <c r="C279" s="23" t="s">
        <v>17</v>
      </c>
      <c r="D279" s="24" t="str">
        <f>VLOOKUP(C279,teams_owners!A:B,2,FALSE)</f>
        <v>Rob Taylor</v>
      </c>
      <c r="E279" s="25">
        <v>117.7</v>
      </c>
      <c r="F279" s="23" t="s">
        <v>73</v>
      </c>
      <c r="G279" s="24" t="str">
        <f>VLOOKUP(F279,teams_owners!A:B,2,FALSE)</f>
        <v>Joe Wilko</v>
      </c>
      <c r="H279" s="25">
        <v>74.16</v>
      </c>
    </row>
    <row r="280" spans="1:8" ht="14.25" customHeight="1" x14ac:dyDescent="0.25">
      <c r="A280" s="23" t="s">
        <v>19</v>
      </c>
      <c r="B280" s="23" t="s">
        <v>54</v>
      </c>
      <c r="C280" s="23" t="s">
        <v>42</v>
      </c>
      <c r="D280" s="24" t="str">
        <f>VLOOKUP(C280,teams_owners!A:B,2,FALSE)</f>
        <v>Dave Bracegirdle</v>
      </c>
      <c r="E280" s="25">
        <v>103.5</v>
      </c>
      <c r="F280" s="23" t="s">
        <v>21</v>
      </c>
      <c r="G280" s="24" t="str">
        <f>VLOOKUP(F280,teams_owners!A:B,2,FALSE)</f>
        <v>Luc Chignell</v>
      </c>
      <c r="H280" s="25">
        <v>110.06</v>
      </c>
    </row>
    <row r="281" spans="1:8" ht="14.25" customHeight="1" x14ac:dyDescent="0.25">
      <c r="A281" s="23" t="s">
        <v>19</v>
      </c>
      <c r="B281" s="23" t="s">
        <v>54</v>
      </c>
      <c r="C281" s="23" t="s">
        <v>38</v>
      </c>
      <c r="D281" s="24" t="str">
        <f>VLOOKUP(C281,teams_owners!A:B,2,FALSE)</f>
        <v>Fiona Kerry</v>
      </c>
      <c r="E281" s="25">
        <v>185.26</v>
      </c>
      <c r="F281" s="23" t="s">
        <v>23</v>
      </c>
      <c r="G281" s="24" t="str">
        <f>VLOOKUP(F281,teams_owners!A:B,2,FALSE)</f>
        <v>Luc Chignell</v>
      </c>
      <c r="H281" s="25">
        <v>134.19999999999999</v>
      </c>
    </row>
    <row r="282" spans="1:8" ht="14.25" customHeight="1" x14ac:dyDescent="0.25">
      <c r="A282" s="23" t="s">
        <v>19</v>
      </c>
      <c r="B282" s="23" t="s">
        <v>54</v>
      </c>
      <c r="C282" s="23" t="s">
        <v>37</v>
      </c>
      <c r="D282" s="24" t="str">
        <f>VLOOKUP(C282,teams_owners!A:B,2,FALSE)</f>
        <v>Rich Andrew</v>
      </c>
      <c r="E282" s="25">
        <v>143.62</v>
      </c>
      <c r="F282" s="23" t="s">
        <v>45</v>
      </c>
      <c r="G282" s="24" t="str">
        <f>VLOOKUP(F282,teams_owners!A:B,2,FALSE)</f>
        <v>Adam Wilko</v>
      </c>
      <c r="H282" s="25">
        <v>115.52</v>
      </c>
    </row>
    <row r="283" spans="1:8" ht="14.25" customHeight="1" x14ac:dyDescent="0.25">
      <c r="A283" s="23" t="s">
        <v>19</v>
      </c>
      <c r="B283" s="23" t="s">
        <v>54</v>
      </c>
      <c r="C283" s="23" t="s">
        <v>47</v>
      </c>
      <c r="D283" s="24" t="str">
        <f>VLOOKUP(C283,teams_owners!A:B,2,FALSE)</f>
        <v>Rob Connet</v>
      </c>
      <c r="E283" s="25">
        <v>84.08</v>
      </c>
      <c r="F283" s="23" t="s">
        <v>40</v>
      </c>
      <c r="G283" s="24" t="str">
        <f>VLOOKUP(F283,teams_owners!A:B,2,FALSE)</f>
        <v>Greg Mitchell</v>
      </c>
      <c r="H283" s="25">
        <v>123.92</v>
      </c>
    </row>
    <row r="284" spans="1:8" ht="14.25" customHeight="1" x14ac:dyDescent="0.25">
      <c r="A284" s="23" t="s">
        <v>19</v>
      </c>
      <c r="B284" s="23" t="s">
        <v>55</v>
      </c>
      <c r="C284" s="23" t="s">
        <v>17</v>
      </c>
      <c r="D284" s="24" t="str">
        <f>VLOOKUP(C284,teams_owners!A:B,2,FALSE)</f>
        <v>Rob Taylor</v>
      </c>
      <c r="E284" s="25">
        <v>108.88</v>
      </c>
      <c r="F284" s="23" t="s">
        <v>23</v>
      </c>
      <c r="G284" s="24" t="str">
        <f>VLOOKUP(F284,teams_owners!A:B,2,FALSE)</f>
        <v>Luc Chignell</v>
      </c>
      <c r="H284" s="25">
        <v>107.42</v>
      </c>
    </row>
    <row r="285" spans="1:8" ht="14.25" customHeight="1" x14ac:dyDescent="0.25">
      <c r="A285" s="23" t="s">
        <v>19</v>
      </c>
      <c r="B285" s="23" t="s">
        <v>55</v>
      </c>
      <c r="C285" s="23" t="s">
        <v>38</v>
      </c>
      <c r="D285" s="24" t="str">
        <f>VLOOKUP(C285,teams_owners!A:B,2,FALSE)</f>
        <v>Fiona Kerry</v>
      </c>
      <c r="E285" s="25">
        <v>122.72</v>
      </c>
      <c r="F285" s="23" t="s">
        <v>42</v>
      </c>
      <c r="G285" s="24" t="str">
        <f>VLOOKUP(F285,teams_owners!A:B,2,FALSE)</f>
        <v>Dave Bracegirdle</v>
      </c>
      <c r="H285" s="25">
        <v>94.34</v>
      </c>
    </row>
    <row r="286" spans="1:8" ht="14.25" customHeight="1" x14ac:dyDescent="0.25">
      <c r="A286" s="23" t="s">
        <v>19</v>
      </c>
      <c r="B286" s="23" t="s">
        <v>55</v>
      </c>
      <c r="C286" s="23" t="s">
        <v>45</v>
      </c>
      <c r="D286" s="24" t="str">
        <f>VLOOKUP(C286,teams_owners!A:B,2,FALSE)</f>
        <v>Adam Wilko</v>
      </c>
      <c r="E286" s="25">
        <v>150.63999999999999</v>
      </c>
      <c r="F286" s="23" t="s">
        <v>73</v>
      </c>
      <c r="G286" s="24" t="str">
        <f>VLOOKUP(F286,teams_owners!A:B,2,FALSE)</f>
        <v>Joe Wilko</v>
      </c>
      <c r="H286" s="25">
        <v>80.62</v>
      </c>
    </row>
    <row r="287" spans="1:8" ht="14.25" customHeight="1" x14ac:dyDescent="0.25">
      <c r="A287" s="23" t="s">
        <v>19</v>
      </c>
      <c r="B287" s="23" t="s">
        <v>55</v>
      </c>
      <c r="C287" s="23" t="s">
        <v>37</v>
      </c>
      <c r="D287" s="24" t="str">
        <f>VLOOKUP(C287,teams_owners!A:B,2,FALSE)</f>
        <v>Rich Andrew</v>
      </c>
      <c r="E287" s="25">
        <v>114.14</v>
      </c>
      <c r="F287" s="23" t="s">
        <v>47</v>
      </c>
      <c r="G287" s="24" t="str">
        <f>VLOOKUP(F287,teams_owners!A:B,2,FALSE)</f>
        <v>Rob Connet</v>
      </c>
      <c r="H287" s="25">
        <v>121</v>
      </c>
    </row>
    <row r="288" spans="1:8" ht="14.25" customHeight="1" x14ac:dyDescent="0.25">
      <c r="A288" s="23" t="s">
        <v>19</v>
      </c>
      <c r="B288" s="23" t="s">
        <v>55</v>
      </c>
      <c r="C288" s="23" t="s">
        <v>40</v>
      </c>
      <c r="D288" s="24" t="str">
        <f>VLOOKUP(C288,teams_owners!A:B,2,FALSE)</f>
        <v>Greg Mitchell</v>
      </c>
      <c r="E288" s="25">
        <v>93.52</v>
      </c>
      <c r="F288" s="23" t="s">
        <v>21</v>
      </c>
      <c r="G288" s="24" t="str">
        <f>VLOOKUP(F288,teams_owners!A:B,2,FALSE)</f>
        <v>Luc Chignell</v>
      </c>
      <c r="H288" s="25">
        <v>112.46</v>
      </c>
    </row>
    <row r="289" spans="1:8" ht="14.25" customHeight="1" x14ac:dyDescent="0.25">
      <c r="A289" s="23" t="s">
        <v>19</v>
      </c>
      <c r="B289" s="23" t="s">
        <v>77</v>
      </c>
      <c r="C289" s="23" t="s">
        <v>17</v>
      </c>
      <c r="D289" s="24" t="str">
        <f>VLOOKUP(C289,teams_owners!A:B,2,FALSE)</f>
        <v>Rob Taylor</v>
      </c>
      <c r="E289" s="25">
        <v>115.92</v>
      </c>
      <c r="F289" s="23" t="s">
        <v>42</v>
      </c>
      <c r="G289" s="24" t="str">
        <f>VLOOKUP(F289,teams_owners!A:B,2,FALSE)</f>
        <v>Dave Bracegirdle</v>
      </c>
      <c r="H289" s="25">
        <v>84.88</v>
      </c>
    </row>
    <row r="290" spans="1:8" ht="14.25" customHeight="1" x14ac:dyDescent="0.25">
      <c r="A290" s="23" t="s">
        <v>19</v>
      </c>
      <c r="B290" s="23" t="s">
        <v>77</v>
      </c>
      <c r="C290" s="23" t="s">
        <v>47</v>
      </c>
      <c r="D290" s="24" t="str">
        <f>VLOOKUP(C290,teams_owners!A:B,2,FALSE)</f>
        <v>Rob Connet</v>
      </c>
      <c r="E290" s="25">
        <v>149.19999999999999</v>
      </c>
      <c r="F290" s="23" t="s">
        <v>23</v>
      </c>
      <c r="G290" s="24" t="str">
        <f>VLOOKUP(F290,teams_owners!A:B,2,FALSE)</f>
        <v>Luc Chignell</v>
      </c>
      <c r="H290" s="25">
        <v>101.02</v>
      </c>
    </row>
    <row r="291" spans="1:8" ht="14.25" customHeight="1" x14ac:dyDescent="0.25">
      <c r="A291" s="23" t="s">
        <v>19</v>
      </c>
      <c r="B291" s="23" t="s">
        <v>77</v>
      </c>
      <c r="C291" s="23" t="s">
        <v>40</v>
      </c>
      <c r="D291" s="24" t="str">
        <f>VLOOKUP(C291,teams_owners!A:B,2,FALSE)</f>
        <v>Greg Mitchell</v>
      </c>
      <c r="E291" s="25">
        <v>93.54</v>
      </c>
      <c r="F291" s="23" t="s">
        <v>73</v>
      </c>
      <c r="G291" s="24" t="str">
        <f>VLOOKUP(F291,teams_owners!A:B,2,FALSE)</f>
        <v>Joe Wilko</v>
      </c>
      <c r="H291" s="25">
        <v>119.77</v>
      </c>
    </row>
    <row r="292" spans="1:8" ht="14.25" customHeight="1" x14ac:dyDescent="0.25">
      <c r="A292" s="23" t="s">
        <v>19</v>
      </c>
      <c r="B292" s="23" t="s">
        <v>77</v>
      </c>
      <c r="C292" s="23" t="s">
        <v>37</v>
      </c>
      <c r="D292" s="24" t="str">
        <f>VLOOKUP(C292,teams_owners!A:B,2,FALSE)</f>
        <v>Rich Andrew</v>
      </c>
      <c r="E292" s="25">
        <v>103.7</v>
      </c>
      <c r="F292" s="23" t="s">
        <v>21</v>
      </c>
      <c r="G292" s="24" t="str">
        <f>VLOOKUP(F292,teams_owners!A:B,2,FALSE)</f>
        <v>Luc Chignell</v>
      </c>
      <c r="H292" s="25">
        <v>99.86</v>
      </c>
    </row>
    <row r="293" spans="1:8" ht="14.25" customHeight="1" x14ac:dyDescent="0.25">
      <c r="A293" s="23" t="s">
        <v>19</v>
      </c>
      <c r="B293" s="23" t="s">
        <v>77</v>
      </c>
      <c r="C293" s="23" t="s">
        <v>38</v>
      </c>
      <c r="D293" s="24" t="str">
        <f>VLOOKUP(C293,teams_owners!A:B,2,FALSE)</f>
        <v>Fiona Kerry</v>
      </c>
      <c r="E293" s="25">
        <v>111.94</v>
      </c>
      <c r="F293" s="23" t="s">
        <v>45</v>
      </c>
      <c r="G293" s="24" t="str">
        <f>VLOOKUP(F293,teams_owners!A:B,2,FALSE)</f>
        <v>Adam Wilko</v>
      </c>
      <c r="H293" s="25">
        <v>138.6</v>
      </c>
    </row>
    <row r="294" spans="1:8" ht="14.25" customHeight="1" x14ac:dyDescent="0.25">
      <c r="A294" s="23" t="s">
        <v>19</v>
      </c>
      <c r="B294" s="23" t="s">
        <v>84</v>
      </c>
      <c r="C294" s="23" t="s">
        <v>17</v>
      </c>
      <c r="D294" s="24" t="str">
        <f>VLOOKUP(C294,teams_owners!A:B,2,FALSE)</f>
        <v>Rob Taylor</v>
      </c>
      <c r="E294" s="25">
        <v>119.3</v>
      </c>
      <c r="F294" s="23" t="s">
        <v>38</v>
      </c>
      <c r="G294" s="24" t="str">
        <f>VLOOKUP(F294,teams_owners!A:B,2,FALSE)</f>
        <v>Fiona Kerry</v>
      </c>
      <c r="H294" s="25">
        <v>73.819999999999993</v>
      </c>
    </row>
    <row r="295" spans="1:8" ht="14.25" customHeight="1" x14ac:dyDescent="0.25">
      <c r="A295" s="23" t="s">
        <v>19</v>
      </c>
      <c r="B295" s="23" t="s">
        <v>84</v>
      </c>
      <c r="C295" s="23" t="s">
        <v>42</v>
      </c>
      <c r="D295" s="24" t="str">
        <f>VLOOKUP(C295,teams_owners!A:B,2,FALSE)</f>
        <v>Dave Bracegirdle</v>
      </c>
      <c r="E295" s="25">
        <v>84.46</v>
      </c>
      <c r="F295" s="23" t="s">
        <v>23</v>
      </c>
      <c r="G295" s="24" t="str">
        <f>VLOOKUP(F295,teams_owners!A:B,2,FALSE)</f>
        <v>Luc Chignell</v>
      </c>
      <c r="H295" s="25">
        <v>116.58</v>
      </c>
    </row>
    <row r="296" spans="1:8" ht="14.25" customHeight="1" x14ac:dyDescent="0.25">
      <c r="A296" s="23" t="s">
        <v>19</v>
      </c>
      <c r="B296" s="23" t="s">
        <v>84</v>
      </c>
      <c r="C296" s="23" t="s">
        <v>37</v>
      </c>
      <c r="D296" s="24" t="str">
        <f>VLOOKUP(C296,teams_owners!A:B,2,FALSE)</f>
        <v>Rich Andrew</v>
      </c>
      <c r="E296" s="25">
        <v>122.66</v>
      </c>
      <c r="F296" s="23" t="s">
        <v>73</v>
      </c>
      <c r="G296" s="24" t="str">
        <f>VLOOKUP(F296,teams_owners!A:B,2,FALSE)</f>
        <v>Joe Wilko</v>
      </c>
      <c r="H296" s="25">
        <v>103.76</v>
      </c>
    </row>
    <row r="297" spans="1:8" ht="14.25" customHeight="1" x14ac:dyDescent="0.25">
      <c r="A297" s="23" t="s">
        <v>19</v>
      </c>
      <c r="B297" s="23" t="s">
        <v>84</v>
      </c>
      <c r="C297" s="23" t="s">
        <v>45</v>
      </c>
      <c r="D297" s="24" t="str">
        <f>VLOOKUP(C297,teams_owners!A:B,2,FALSE)</f>
        <v>Adam Wilko</v>
      </c>
      <c r="E297" s="25">
        <v>55.42</v>
      </c>
      <c r="F297" s="23" t="s">
        <v>40</v>
      </c>
      <c r="G297" s="24" t="str">
        <f>VLOOKUP(F297,teams_owners!A:B,2,FALSE)</f>
        <v>Greg Mitchell</v>
      </c>
      <c r="H297" s="25">
        <v>129.44</v>
      </c>
    </row>
    <row r="298" spans="1:8" ht="14.25" customHeight="1" x14ac:dyDescent="0.25">
      <c r="A298" s="23" t="s">
        <v>19</v>
      </c>
      <c r="B298" s="23" t="s">
        <v>84</v>
      </c>
      <c r="C298" s="23" t="s">
        <v>47</v>
      </c>
      <c r="D298" s="24" t="str">
        <f>VLOOKUP(C298,teams_owners!A:B,2,FALSE)</f>
        <v>Rob Connet</v>
      </c>
      <c r="E298" s="25">
        <v>128.04</v>
      </c>
      <c r="F298" s="23" t="s">
        <v>21</v>
      </c>
      <c r="G298" s="24" t="str">
        <f>VLOOKUP(F298,teams_owners!A:B,2,FALSE)</f>
        <v>Luc Chignell</v>
      </c>
      <c r="H298" s="25">
        <v>113.44</v>
      </c>
    </row>
    <row r="299" spans="1:8" ht="14.25" customHeight="1" x14ac:dyDescent="0.25">
      <c r="A299" s="23" t="s">
        <v>19</v>
      </c>
      <c r="B299" s="23" t="s">
        <v>39</v>
      </c>
      <c r="C299" s="23" t="s">
        <v>17</v>
      </c>
      <c r="D299" s="24" t="str">
        <f>VLOOKUP(C299,teams_owners!A:B,2,FALSE)</f>
        <v>Rob Taylor</v>
      </c>
      <c r="E299" s="25">
        <v>131.16</v>
      </c>
      <c r="F299" s="23" t="s">
        <v>21</v>
      </c>
      <c r="G299" s="24" t="str">
        <f>VLOOKUP(F299,teams_owners!A:B,2,FALSE)</f>
        <v>Luc Chignell</v>
      </c>
      <c r="H299" s="25">
        <v>97.44</v>
      </c>
    </row>
    <row r="300" spans="1:8" ht="14.25" customHeight="1" x14ac:dyDescent="0.25">
      <c r="A300" s="23" t="s">
        <v>19</v>
      </c>
      <c r="B300" s="23" t="s">
        <v>39</v>
      </c>
      <c r="C300" s="23" t="s">
        <v>73</v>
      </c>
      <c r="D300" s="24" t="str">
        <f>VLOOKUP(C300,teams_owners!A:B,2,FALSE)</f>
        <v>Joe Wilko</v>
      </c>
      <c r="E300" s="25">
        <v>94.24</v>
      </c>
      <c r="F300" s="23" t="s">
        <v>42</v>
      </c>
      <c r="G300" s="24" t="str">
        <f>VLOOKUP(F300,teams_owners!A:B,2,FALSE)</f>
        <v>Dave Bracegirdle</v>
      </c>
      <c r="H300" s="25">
        <v>116.42</v>
      </c>
    </row>
    <row r="301" spans="1:8" ht="14.25" customHeight="1" x14ac:dyDescent="0.25">
      <c r="A301" s="23" t="s">
        <v>19</v>
      </c>
      <c r="B301" s="23" t="s">
        <v>39</v>
      </c>
      <c r="C301" s="23" t="s">
        <v>37</v>
      </c>
      <c r="D301" s="24" t="str">
        <f>VLOOKUP(C301,teams_owners!A:B,2,FALSE)</f>
        <v>Rich Andrew</v>
      </c>
      <c r="E301" s="25">
        <v>153.24</v>
      </c>
      <c r="F301" s="23" t="s">
        <v>23</v>
      </c>
      <c r="G301" s="24" t="str">
        <f>VLOOKUP(F301,teams_owners!A:B,2,FALSE)</f>
        <v>Luc Chignell</v>
      </c>
      <c r="H301" s="25">
        <v>128.97999999999999</v>
      </c>
    </row>
    <row r="302" spans="1:8" ht="14.25" customHeight="1" x14ac:dyDescent="0.25">
      <c r="A302" s="23" t="s">
        <v>19</v>
      </c>
      <c r="B302" s="23" t="s">
        <v>39</v>
      </c>
      <c r="C302" s="23" t="s">
        <v>45</v>
      </c>
      <c r="D302" s="24" t="str">
        <f>VLOOKUP(C302,teams_owners!A:B,2,FALSE)</f>
        <v>Adam Wilko</v>
      </c>
      <c r="E302" s="25">
        <v>100.88</v>
      </c>
      <c r="F302" s="23" t="s">
        <v>47</v>
      </c>
      <c r="G302" s="24" t="str">
        <f>VLOOKUP(F302,teams_owners!A:B,2,FALSE)</f>
        <v>Rob Connet</v>
      </c>
      <c r="H302" s="25">
        <v>95.02</v>
      </c>
    </row>
    <row r="303" spans="1:8" ht="14.25" customHeight="1" x14ac:dyDescent="0.25">
      <c r="A303" s="23" t="s">
        <v>19</v>
      </c>
      <c r="B303" s="23" t="s">
        <v>39</v>
      </c>
      <c r="C303" s="23" t="s">
        <v>38</v>
      </c>
      <c r="D303" s="24" t="str">
        <f>VLOOKUP(C303,teams_owners!A:B,2,FALSE)</f>
        <v>Fiona Kerry</v>
      </c>
      <c r="E303" s="25">
        <v>137.62</v>
      </c>
      <c r="F303" s="23" t="s">
        <v>40</v>
      </c>
      <c r="G303" s="24" t="str">
        <f>VLOOKUP(F303,teams_owners!A:B,2,FALSE)</f>
        <v>Greg Mitchell</v>
      </c>
      <c r="H303" s="25">
        <v>132.94</v>
      </c>
    </row>
    <row r="304" spans="1:8" ht="14.25" customHeight="1" x14ac:dyDescent="0.25">
      <c r="A304" s="23" t="s">
        <v>19</v>
      </c>
      <c r="B304" s="23" t="s">
        <v>62</v>
      </c>
      <c r="C304" s="23" t="s">
        <v>17</v>
      </c>
      <c r="D304" s="24" t="str">
        <f>VLOOKUP(C304,teams_owners!A:B,2,FALSE)</f>
        <v>Rob Taylor</v>
      </c>
      <c r="E304" s="25">
        <v>91.6</v>
      </c>
      <c r="F304" s="23" t="s">
        <v>40</v>
      </c>
      <c r="G304" s="24" t="str">
        <f>VLOOKUP(F304,teams_owners!A:B,2,FALSE)</f>
        <v>Greg Mitchell</v>
      </c>
      <c r="H304" s="25">
        <v>164.76</v>
      </c>
    </row>
    <row r="305" spans="1:8" ht="14.25" customHeight="1" x14ac:dyDescent="0.25">
      <c r="A305" s="23" t="s">
        <v>19</v>
      </c>
      <c r="B305" s="23" t="s">
        <v>62</v>
      </c>
      <c r="C305" s="23" t="s">
        <v>37</v>
      </c>
      <c r="D305" s="24" t="str">
        <f>VLOOKUP(C305,teams_owners!A:B,2,FALSE)</f>
        <v>Rich Andrew</v>
      </c>
      <c r="E305" s="25">
        <v>58.38</v>
      </c>
      <c r="F305" s="23" t="s">
        <v>42</v>
      </c>
      <c r="G305" s="24" t="str">
        <f>VLOOKUP(F305,teams_owners!A:B,2,FALSE)</f>
        <v>Dave Bracegirdle</v>
      </c>
      <c r="H305" s="25">
        <v>153.28</v>
      </c>
    </row>
    <row r="306" spans="1:8" ht="14.25" customHeight="1" x14ac:dyDescent="0.25">
      <c r="A306" s="23" t="s">
        <v>19</v>
      </c>
      <c r="B306" s="23" t="s">
        <v>62</v>
      </c>
      <c r="C306" s="23" t="s">
        <v>130</v>
      </c>
      <c r="D306" s="24" t="str">
        <f>VLOOKUP(C306,teams_owners!A:B,2,FALSE)</f>
        <v>Joe Wilko</v>
      </c>
      <c r="E306" s="25">
        <v>74.8</v>
      </c>
      <c r="F306" s="23" t="s">
        <v>23</v>
      </c>
      <c r="G306" s="24" t="str">
        <f>VLOOKUP(F306,teams_owners!A:B,2,FALSE)</f>
        <v>Luc Chignell</v>
      </c>
      <c r="H306" s="25">
        <v>90.94</v>
      </c>
    </row>
    <row r="307" spans="1:8" ht="14.25" customHeight="1" x14ac:dyDescent="0.25">
      <c r="A307" s="23" t="s">
        <v>19</v>
      </c>
      <c r="B307" s="23" t="s">
        <v>62</v>
      </c>
      <c r="C307" s="23" t="s">
        <v>45</v>
      </c>
      <c r="D307" s="24" t="str">
        <f>VLOOKUP(C307,teams_owners!A:B,2,FALSE)</f>
        <v>Adam Wilko</v>
      </c>
      <c r="E307" s="25">
        <v>163.30000000000001</v>
      </c>
      <c r="F307" s="23" t="s">
        <v>21</v>
      </c>
      <c r="G307" s="24" t="str">
        <f>VLOOKUP(F307,teams_owners!A:B,2,FALSE)</f>
        <v>Luc Chignell</v>
      </c>
      <c r="H307" s="25">
        <v>104.8</v>
      </c>
    </row>
    <row r="308" spans="1:8" ht="14.25" customHeight="1" x14ac:dyDescent="0.25">
      <c r="A308" s="23" t="s">
        <v>19</v>
      </c>
      <c r="B308" s="23" t="s">
        <v>62</v>
      </c>
      <c r="C308" s="23" t="s">
        <v>38</v>
      </c>
      <c r="D308" s="24" t="str">
        <f>VLOOKUP(C308,teams_owners!A:B,2,FALSE)</f>
        <v>Fiona Kerry</v>
      </c>
      <c r="E308" s="25">
        <v>116.22</v>
      </c>
      <c r="F308" s="23" t="s">
        <v>47</v>
      </c>
      <c r="G308" s="24" t="str">
        <f>VLOOKUP(F308,teams_owners!A:B,2,FALSE)</f>
        <v>Rob Connet</v>
      </c>
      <c r="H308" s="25">
        <v>145.47999999999999</v>
      </c>
    </row>
    <row r="309" spans="1:8" ht="14.25" customHeight="1" x14ac:dyDescent="0.25">
      <c r="A309" s="23" t="s">
        <v>19</v>
      </c>
      <c r="B309" s="23" t="s">
        <v>70</v>
      </c>
      <c r="C309" s="23" t="s">
        <v>17</v>
      </c>
      <c r="D309" s="24" t="str">
        <f>VLOOKUP(C309,teams_owners!A:B,2,FALSE)</f>
        <v>Rob Taylor</v>
      </c>
      <c r="E309" s="25">
        <v>79.22</v>
      </c>
      <c r="F309" s="23" t="s">
        <v>37</v>
      </c>
      <c r="G309" s="24" t="str">
        <f>VLOOKUP(F309,teams_owners!A:B,2,FALSE)</f>
        <v>Rich Andrew</v>
      </c>
      <c r="H309" s="25">
        <v>114.3</v>
      </c>
    </row>
    <row r="310" spans="1:8" ht="14.25" customHeight="1" x14ac:dyDescent="0.25">
      <c r="A310" s="23" t="s">
        <v>19</v>
      </c>
      <c r="B310" s="23" t="s">
        <v>70</v>
      </c>
      <c r="C310" s="23" t="s">
        <v>45</v>
      </c>
      <c r="D310" s="24" t="str">
        <f>VLOOKUP(C310,teams_owners!A:B,2,FALSE)</f>
        <v>Adam Wilko</v>
      </c>
      <c r="E310" s="25">
        <v>128.32</v>
      </c>
      <c r="F310" s="23" t="s">
        <v>42</v>
      </c>
      <c r="G310" s="24" t="str">
        <f>VLOOKUP(F310,teams_owners!A:B,2,FALSE)</f>
        <v>Dave Bracegirdle</v>
      </c>
      <c r="H310" s="25">
        <v>178.22</v>
      </c>
    </row>
    <row r="311" spans="1:8" ht="14.25" customHeight="1" x14ac:dyDescent="0.25">
      <c r="A311" s="23" t="s">
        <v>19</v>
      </c>
      <c r="B311" s="23" t="s">
        <v>70</v>
      </c>
      <c r="C311" s="23" t="s">
        <v>40</v>
      </c>
      <c r="D311" s="24" t="str">
        <f>VLOOKUP(C311,teams_owners!A:B,2,FALSE)</f>
        <v>Greg Mitchell</v>
      </c>
      <c r="E311" s="25">
        <v>81.260000000000005</v>
      </c>
      <c r="F311" s="23" t="s">
        <v>23</v>
      </c>
      <c r="G311" s="24" t="str">
        <f>VLOOKUP(F311,teams_owners!A:B,2,FALSE)</f>
        <v>Luc Chignell</v>
      </c>
      <c r="H311" s="25">
        <v>113.1</v>
      </c>
    </row>
    <row r="312" spans="1:8" ht="14.25" customHeight="1" x14ac:dyDescent="0.25">
      <c r="A312" s="23" t="s">
        <v>19</v>
      </c>
      <c r="B312" s="23" t="s">
        <v>70</v>
      </c>
      <c r="C312" s="23" t="s">
        <v>47</v>
      </c>
      <c r="D312" s="24" t="str">
        <f>VLOOKUP(C312,teams_owners!A:B,2,FALSE)</f>
        <v>Rob Connet</v>
      </c>
      <c r="E312" s="25">
        <v>115.9</v>
      </c>
      <c r="F312" s="23" t="s">
        <v>73</v>
      </c>
      <c r="G312" s="24" t="str">
        <f>VLOOKUP(F312,teams_owners!A:B,2,FALSE)</f>
        <v>Joe Wilko</v>
      </c>
      <c r="H312" s="25">
        <v>116.84</v>
      </c>
    </row>
    <row r="313" spans="1:8" ht="14.25" customHeight="1" x14ac:dyDescent="0.25">
      <c r="A313" s="23" t="s">
        <v>19</v>
      </c>
      <c r="B313" s="23" t="s">
        <v>70</v>
      </c>
      <c r="C313" s="23" t="s">
        <v>38</v>
      </c>
      <c r="D313" s="24" t="str">
        <f>VLOOKUP(C313,teams_owners!A:B,2,FALSE)</f>
        <v>Fiona Kerry</v>
      </c>
      <c r="E313" s="25">
        <v>134.94</v>
      </c>
      <c r="F313" s="23" t="s">
        <v>21</v>
      </c>
      <c r="G313" s="24" t="str">
        <f>VLOOKUP(F313,teams_owners!A:B,2,FALSE)</f>
        <v>Luc Chignell</v>
      </c>
      <c r="H313" s="25">
        <v>112.2</v>
      </c>
    </row>
    <row r="314" spans="1:8" ht="14.25" customHeight="1" x14ac:dyDescent="0.25">
      <c r="A314" s="23" t="s">
        <v>19</v>
      </c>
      <c r="B314" s="23" t="s">
        <v>85</v>
      </c>
      <c r="C314" s="23" t="s">
        <v>17</v>
      </c>
      <c r="D314" s="24" t="str">
        <f>VLOOKUP(C314,teams_owners!A:B,2,FALSE)</f>
        <v>Rob Taylor</v>
      </c>
      <c r="E314" s="25">
        <v>74.06</v>
      </c>
      <c r="F314" s="23" t="s">
        <v>47</v>
      </c>
      <c r="G314" s="24" t="str">
        <f>VLOOKUP(F314,teams_owners!A:B,2,FALSE)</f>
        <v>Rob Connet</v>
      </c>
      <c r="H314" s="25">
        <v>121.84</v>
      </c>
    </row>
    <row r="315" spans="1:8" ht="14.25" customHeight="1" x14ac:dyDescent="0.25">
      <c r="A315" s="23" t="s">
        <v>19</v>
      </c>
      <c r="B315" s="23" t="s">
        <v>85</v>
      </c>
      <c r="C315" s="23" t="s">
        <v>40</v>
      </c>
      <c r="D315" s="24" t="str">
        <f>VLOOKUP(C315,teams_owners!A:B,2,FALSE)</f>
        <v>Greg Mitchell</v>
      </c>
      <c r="E315" s="25">
        <v>162.02000000000001</v>
      </c>
      <c r="F315" s="23" t="s">
        <v>42</v>
      </c>
      <c r="G315" s="24" t="str">
        <f>VLOOKUP(F315,teams_owners!A:B,2,FALSE)</f>
        <v>Dave Bracegirdle</v>
      </c>
      <c r="H315" s="25">
        <v>125.02</v>
      </c>
    </row>
    <row r="316" spans="1:8" ht="14.25" customHeight="1" x14ac:dyDescent="0.25">
      <c r="A316" s="23" t="s">
        <v>19</v>
      </c>
      <c r="B316" s="23" t="s">
        <v>85</v>
      </c>
      <c r="C316" s="23" t="s">
        <v>45</v>
      </c>
      <c r="D316" s="24" t="str">
        <f>VLOOKUP(C316,teams_owners!A:B,2,FALSE)</f>
        <v>Adam Wilko</v>
      </c>
      <c r="E316" s="25">
        <v>139.32</v>
      </c>
      <c r="F316" s="23" t="s">
        <v>23</v>
      </c>
      <c r="G316" s="24" t="str">
        <f>VLOOKUP(F316,teams_owners!A:B,2,FALSE)</f>
        <v>Luc Chignell</v>
      </c>
      <c r="H316" s="25">
        <v>103.88</v>
      </c>
    </row>
    <row r="317" spans="1:8" ht="14.25" customHeight="1" x14ac:dyDescent="0.25">
      <c r="A317" s="23" t="s">
        <v>19</v>
      </c>
      <c r="B317" s="23" t="s">
        <v>85</v>
      </c>
      <c r="C317" s="23" t="s">
        <v>73</v>
      </c>
      <c r="D317" s="24" t="str">
        <f>VLOOKUP(C317,teams_owners!A:B,2,FALSE)</f>
        <v>Joe Wilko</v>
      </c>
      <c r="E317" s="25">
        <v>101.92</v>
      </c>
      <c r="F317" s="23" t="s">
        <v>21</v>
      </c>
      <c r="G317" s="24" t="str">
        <f>VLOOKUP(F317,teams_owners!A:B,2,FALSE)</f>
        <v>Luc Chignell</v>
      </c>
      <c r="H317" s="25">
        <v>78.739999999999995</v>
      </c>
    </row>
    <row r="318" spans="1:8" ht="14.25" customHeight="1" x14ac:dyDescent="0.25">
      <c r="A318" s="23" t="s">
        <v>19</v>
      </c>
      <c r="B318" s="23" t="s">
        <v>85</v>
      </c>
      <c r="C318" s="23" t="s">
        <v>37</v>
      </c>
      <c r="D318" s="24" t="str">
        <f>VLOOKUP(C318,teams_owners!A:B,2,FALSE)</f>
        <v>Rich Andrew</v>
      </c>
      <c r="E318" s="25">
        <v>112.2</v>
      </c>
      <c r="F318" s="23" t="s">
        <v>38</v>
      </c>
      <c r="G318" s="24" t="str">
        <f>VLOOKUP(F318,teams_owners!A:B,2,FALSE)</f>
        <v>Fiona Kerry</v>
      </c>
      <c r="H318" s="25">
        <v>85.86</v>
      </c>
    </row>
    <row r="319" spans="1:8" ht="14.25" customHeight="1" x14ac:dyDescent="0.25">
      <c r="A319" s="23" t="s">
        <v>19</v>
      </c>
      <c r="B319" s="23" t="s">
        <v>31</v>
      </c>
      <c r="C319" s="23" t="s">
        <v>17</v>
      </c>
      <c r="D319" s="24" t="str">
        <f>VLOOKUP(C319,teams_owners!A:B,2,FALSE)</f>
        <v>Rob Taylor</v>
      </c>
      <c r="E319" s="25">
        <v>103.18</v>
      </c>
      <c r="F319" s="23" t="s">
        <v>47</v>
      </c>
      <c r="G319" s="24" t="str">
        <f>VLOOKUP(F319,teams_owners!A:B,2,FALSE)</f>
        <v>Rob Connet</v>
      </c>
      <c r="H319" s="25">
        <v>103.24</v>
      </c>
    </row>
    <row r="320" spans="1:8" ht="14.25" customHeight="1" x14ac:dyDescent="0.25">
      <c r="A320" s="23" t="s">
        <v>19</v>
      </c>
      <c r="B320" s="23" t="s">
        <v>81</v>
      </c>
      <c r="C320" s="23" t="s">
        <v>38</v>
      </c>
      <c r="D320" s="24" t="str">
        <f>VLOOKUP(C320,teams_owners!A:B,2,FALSE)</f>
        <v>Fiona Kerry</v>
      </c>
      <c r="E320" s="25">
        <v>113.58</v>
      </c>
      <c r="F320" s="23" t="s">
        <v>40</v>
      </c>
      <c r="G320" s="24" t="str">
        <f>VLOOKUP(F320,teams_owners!A:B,2,FALSE)</f>
        <v>Greg Mitchell</v>
      </c>
      <c r="H320" s="25">
        <v>111.82</v>
      </c>
    </row>
    <row r="321" spans="1:8" ht="14.25" customHeight="1" x14ac:dyDescent="0.25">
      <c r="A321" s="23" t="s">
        <v>19</v>
      </c>
      <c r="B321" s="23" t="s">
        <v>20</v>
      </c>
      <c r="C321" s="23" t="s">
        <v>21</v>
      </c>
      <c r="D321" s="24" t="str">
        <f>VLOOKUP(C321,teams_owners!A:B,2,FALSE)</f>
        <v>Luc Chignell</v>
      </c>
      <c r="E321" s="25">
        <v>148.52000000000001</v>
      </c>
      <c r="F321" s="23" t="s">
        <v>23</v>
      </c>
      <c r="G321" s="24" t="str">
        <f>VLOOKUP(F321,teams_owners!A:B,2,FALSE)</f>
        <v>Luc Chignell</v>
      </c>
      <c r="H321" s="25">
        <v>202.74</v>
      </c>
    </row>
    <row r="322" spans="1:8" ht="14.25" customHeight="1" x14ac:dyDescent="0.25">
      <c r="A322" s="23" t="s">
        <v>19</v>
      </c>
      <c r="B322" s="23" t="s">
        <v>49</v>
      </c>
      <c r="C322" s="23" t="s">
        <v>38</v>
      </c>
      <c r="D322" s="24" t="str">
        <f>VLOOKUP(C322,teams_owners!A:B,2,FALSE)</f>
        <v>Fiona Kerry</v>
      </c>
      <c r="E322" s="25">
        <v>139.22</v>
      </c>
      <c r="F322" s="23" t="s">
        <v>23</v>
      </c>
      <c r="G322" s="24" t="str">
        <f>VLOOKUP(F322,teams_owners!A:B,2,FALSE)</f>
        <v>Luc Chignell</v>
      </c>
      <c r="H322" s="25">
        <v>84.2</v>
      </c>
    </row>
    <row r="323" spans="1:8" ht="14.25" customHeight="1" x14ac:dyDescent="0.25">
      <c r="A323" s="23" t="s">
        <v>19</v>
      </c>
      <c r="B323" s="23" t="s">
        <v>49</v>
      </c>
      <c r="C323" s="23" t="s">
        <v>40</v>
      </c>
      <c r="D323" s="24" t="str">
        <f>VLOOKUP(C323,teams_owners!A:B,2,FALSE)</f>
        <v>Greg Mitchell</v>
      </c>
      <c r="E323" s="25">
        <v>170.36</v>
      </c>
      <c r="F323" s="23" t="s">
        <v>73</v>
      </c>
      <c r="G323" s="24" t="str">
        <f>VLOOKUP(F323,teams_owners!A:B,2,FALSE)</f>
        <v>Joe Wilko</v>
      </c>
      <c r="H323" s="25">
        <v>92.42</v>
      </c>
    </row>
    <row r="324" spans="1:8" ht="14.25" customHeight="1" x14ac:dyDescent="0.25">
      <c r="A324" s="23" t="s">
        <v>19</v>
      </c>
      <c r="B324" s="23" t="s">
        <v>35</v>
      </c>
      <c r="C324" s="23" t="s">
        <v>37</v>
      </c>
      <c r="D324" s="24" t="str">
        <f>VLOOKUP(C324,teams_owners!A:B,2,FALSE)</f>
        <v>Rich Andrew</v>
      </c>
      <c r="E324" s="25">
        <v>132.13999999999999</v>
      </c>
      <c r="F324" s="23" t="s">
        <v>45</v>
      </c>
      <c r="G324" s="24" t="str">
        <f>VLOOKUP(F324,teams_owners!A:B,2,FALSE)</f>
        <v>Adam Wilko</v>
      </c>
      <c r="H324" s="25">
        <v>106.1</v>
      </c>
    </row>
    <row r="325" spans="1:8" ht="14.25" customHeight="1" x14ac:dyDescent="0.25">
      <c r="A325" s="23" t="s">
        <v>19</v>
      </c>
      <c r="B325" s="23" t="s">
        <v>89</v>
      </c>
      <c r="C325" s="23" t="s">
        <v>17</v>
      </c>
      <c r="D325" s="24" t="str">
        <f>VLOOKUP(C325,teams_owners!A:B,2,FALSE)</f>
        <v>Rob Taylor</v>
      </c>
      <c r="E325" s="25">
        <v>106.24</v>
      </c>
      <c r="F325" s="23" t="s">
        <v>37</v>
      </c>
      <c r="G325" s="24" t="str">
        <f>VLOOKUP(F325,teams_owners!A:B,2,FALSE)</f>
        <v>Rich Andrew</v>
      </c>
      <c r="H325" s="25">
        <v>110.92</v>
      </c>
    </row>
    <row r="326" spans="1:8" ht="14.25" customHeight="1" x14ac:dyDescent="0.25">
      <c r="A326" s="23" t="s">
        <v>19</v>
      </c>
      <c r="B326" s="23" t="s">
        <v>89</v>
      </c>
      <c r="C326" s="23" t="s">
        <v>45</v>
      </c>
      <c r="D326" s="24" t="str">
        <f>VLOOKUP(C326,teams_owners!A:B,2,FALSE)</f>
        <v>Adam Wilko</v>
      </c>
      <c r="E326" s="25">
        <v>116.54</v>
      </c>
      <c r="F326" s="23" t="s">
        <v>47</v>
      </c>
      <c r="G326" s="24" t="str">
        <f>VLOOKUP(F326,teams_owners!A:B,2,FALSE)</f>
        <v>Rob Connet</v>
      </c>
      <c r="H326" s="25">
        <v>106.14</v>
      </c>
    </row>
    <row r="327" spans="1:8" ht="14.25" customHeight="1" x14ac:dyDescent="0.25">
      <c r="A327" s="23" t="s">
        <v>19</v>
      </c>
      <c r="B327" s="23" t="s">
        <v>72</v>
      </c>
      <c r="C327" s="23" t="s">
        <v>21</v>
      </c>
      <c r="D327" s="24" t="str">
        <f>VLOOKUP(C327,teams_owners!A:B,2,FALSE)</f>
        <v>Luc Chignell</v>
      </c>
      <c r="E327" s="25">
        <v>112.86</v>
      </c>
      <c r="F327" s="23" t="s">
        <v>73</v>
      </c>
      <c r="G327" s="24" t="str">
        <f>VLOOKUP(F327,teams_owners!A:B,2,FALSE)</f>
        <v>Joe Wilko</v>
      </c>
      <c r="H327" s="25">
        <v>186.22</v>
      </c>
    </row>
    <row r="328" spans="1:8" ht="14.25" customHeight="1" x14ac:dyDescent="0.25">
      <c r="A328" s="23" t="s">
        <v>26</v>
      </c>
      <c r="B328" s="23" t="s">
        <v>8</v>
      </c>
      <c r="C328" s="23" t="s">
        <v>48</v>
      </c>
      <c r="D328" s="24" t="str">
        <f>VLOOKUP(C328,teams_owners!A:B,2,FALSE)</f>
        <v>Rob Taylor</v>
      </c>
      <c r="E328" s="25">
        <v>108.68</v>
      </c>
      <c r="F328" s="23" t="s">
        <v>78</v>
      </c>
      <c r="G328" s="24" t="str">
        <f>VLOOKUP(F328,teams_owners!A:B,2,FALSE)</f>
        <v>Luc Chignell</v>
      </c>
      <c r="H328" s="25">
        <v>91.8</v>
      </c>
    </row>
    <row r="329" spans="1:8" ht="14.25" customHeight="1" x14ac:dyDescent="0.25">
      <c r="A329" s="23" t="s">
        <v>26</v>
      </c>
      <c r="B329" s="23" t="s">
        <v>8</v>
      </c>
      <c r="C329" s="23" t="s">
        <v>67</v>
      </c>
      <c r="D329" s="24" t="str">
        <f>VLOOKUP(C329,teams_owners!A:B,2,FALSE)</f>
        <v>Rob Connet</v>
      </c>
      <c r="E329" s="25">
        <v>95.92</v>
      </c>
      <c r="F329" s="23" t="s">
        <v>29</v>
      </c>
      <c r="G329" s="24" t="str">
        <f>VLOOKUP(F329,teams_owners!A:B,2,FALSE)</f>
        <v>Joe Wilko</v>
      </c>
      <c r="H329" s="25">
        <v>188.06</v>
      </c>
    </row>
    <row r="330" spans="1:8" ht="14.25" customHeight="1" x14ac:dyDescent="0.25">
      <c r="A330" s="23" t="s">
        <v>26</v>
      </c>
      <c r="B330" s="23" t="s">
        <v>8</v>
      </c>
      <c r="C330" s="23" t="s">
        <v>28</v>
      </c>
      <c r="D330" s="24" t="str">
        <f>VLOOKUP(C330,teams_owners!A:B,2,FALSE)</f>
        <v>Adam Wilko</v>
      </c>
      <c r="E330" s="25">
        <v>81.58</v>
      </c>
      <c r="F330" s="23" t="s">
        <v>40</v>
      </c>
      <c r="G330" s="24" t="str">
        <f>VLOOKUP(F330,teams_owners!A:B,2,FALSE)</f>
        <v>Greg Mitchell</v>
      </c>
      <c r="H330" s="25">
        <v>196.72</v>
      </c>
    </row>
    <row r="331" spans="1:8" ht="14.25" customHeight="1" x14ac:dyDescent="0.25">
      <c r="A331" s="23" t="s">
        <v>26</v>
      </c>
      <c r="B331" s="23" t="s">
        <v>8</v>
      </c>
      <c r="C331" s="23" t="s">
        <v>71</v>
      </c>
      <c r="D331" s="24" t="str">
        <f>VLOOKUP(C331,teams_owners!A:B,2,FALSE)</f>
        <v>Rich Andrew</v>
      </c>
      <c r="E331" s="25">
        <v>138.46</v>
      </c>
      <c r="F331" s="23" t="s">
        <v>83</v>
      </c>
      <c r="G331" s="24" t="str">
        <f>VLOOKUP(F331,teams_owners!A:B,2,FALSE)</f>
        <v>Nathan</v>
      </c>
      <c r="H331" s="25">
        <v>151.06</v>
      </c>
    </row>
    <row r="332" spans="1:8" ht="14.25" customHeight="1" x14ac:dyDescent="0.25">
      <c r="A332" s="23" t="s">
        <v>26</v>
      </c>
      <c r="B332" s="23" t="s">
        <v>8</v>
      </c>
      <c r="C332" s="23" t="s">
        <v>50</v>
      </c>
      <c r="D332" s="24" t="str">
        <f>VLOOKUP(C332,teams_owners!A:B,2,FALSE)</f>
        <v>Fiona Kerry</v>
      </c>
      <c r="E332" s="25">
        <v>130.38</v>
      </c>
      <c r="F332" s="23" t="s">
        <v>153</v>
      </c>
      <c r="G332" s="24" t="str">
        <f>VLOOKUP(F332,teams_owners!A:B,2,FALSE)</f>
        <v>Dave Bracegirdle</v>
      </c>
      <c r="H332" s="25">
        <v>91.14</v>
      </c>
    </row>
    <row r="333" spans="1:8" ht="14.25" customHeight="1" x14ac:dyDescent="0.25">
      <c r="A333" s="23" t="s">
        <v>26</v>
      </c>
      <c r="B333" s="23" t="s">
        <v>6</v>
      </c>
      <c r="C333" s="23" t="s">
        <v>48</v>
      </c>
      <c r="D333" s="24" t="str">
        <f>VLOOKUP(C333,teams_owners!A:B,2,FALSE)</f>
        <v>Rob Taylor</v>
      </c>
      <c r="E333" s="25">
        <v>78.22</v>
      </c>
      <c r="F333" s="23" t="s">
        <v>29</v>
      </c>
      <c r="G333" s="24" t="str">
        <f>VLOOKUP(F333,teams_owners!A:B,2,FALSE)</f>
        <v>Joe Wilko</v>
      </c>
      <c r="H333" s="25">
        <v>111.94</v>
      </c>
    </row>
    <row r="334" spans="1:8" ht="14.25" customHeight="1" x14ac:dyDescent="0.25">
      <c r="A334" s="23" t="s">
        <v>26</v>
      </c>
      <c r="B334" s="23" t="s">
        <v>6</v>
      </c>
      <c r="C334" s="23" t="s">
        <v>67</v>
      </c>
      <c r="D334" s="24" t="str">
        <f>VLOOKUP(C334,teams_owners!A:B,2,FALSE)</f>
        <v>Rob Connet</v>
      </c>
      <c r="E334" s="25">
        <v>124.9</v>
      </c>
      <c r="F334" s="23" t="s">
        <v>78</v>
      </c>
      <c r="G334" s="24" t="str">
        <f>VLOOKUP(F334,teams_owners!A:B,2,FALSE)</f>
        <v>Luc Chignell</v>
      </c>
      <c r="H334" s="25">
        <v>175.76</v>
      </c>
    </row>
    <row r="335" spans="1:8" ht="14.25" customHeight="1" x14ac:dyDescent="0.25">
      <c r="A335" s="23" t="s">
        <v>26</v>
      </c>
      <c r="B335" s="23" t="s">
        <v>6</v>
      </c>
      <c r="C335" s="23" t="s">
        <v>28</v>
      </c>
      <c r="D335" s="24" t="str">
        <f>VLOOKUP(C335,teams_owners!A:B,2,FALSE)</f>
        <v>Adam Wilko</v>
      </c>
      <c r="E335" s="25">
        <v>113.02</v>
      </c>
      <c r="F335" s="23" t="s">
        <v>83</v>
      </c>
      <c r="G335" s="24" t="str">
        <f>VLOOKUP(F335,teams_owners!A:B,2,FALSE)</f>
        <v>Nathan</v>
      </c>
      <c r="H335" s="25">
        <v>140.32</v>
      </c>
    </row>
    <row r="336" spans="1:8" ht="14.25" customHeight="1" x14ac:dyDescent="0.25">
      <c r="A336" s="23" t="s">
        <v>26</v>
      </c>
      <c r="B336" s="23" t="s">
        <v>6</v>
      </c>
      <c r="C336" s="23" t="s">
        <v>40</v>
      </c>
      <c r="D336" s="24" t="str">
        <f>VLOOKUP(C336,teams_owners!A:B,2,FALSE)</f>
        <v>Greg Mitchell</v>
      </c>
      <c r="E336" s="25">
        <v>79.38</v>
      </c>
      <c r="F336" s="23" t="s">
        <v>36</v>
      </c>
      <c r="G336" s="24" t="str">
        <f>VLOOKUP(F336,teams_owners!A:B,2,FALSE)</f>
        <v>Dave Bracegirdle</v>
      </c>
      <c r="H336" s="25">
        <v>181.46</v>
      </c>
    </row>
    <row r="337" spans="1:8" ht="14.25" customHeight="1" x14ac:dyDescent="0.25">
      <c r="A337" s="23" t="s">
        <v>26</v>
      </c>
      <c r="B337" s="23" t="s">
        <v>6</v>
      </c>
      <c r="C337" s="23" t="s">
        <v>71</v>
      </c>
      <c r="D337" s="24" t="str">
        <f>VLOOKUP(C337,teams_owners!A:B,2,FALSE)</f>
        <v>Rich Andrew</v>
      </c>
      <c r="E337" s="25">
        <v>129.30000000000001</v>
      </c>
      <c r="F337" s="23" t="s">
        <v>50</v>
      </c>
      <c r="G337" s="24" t="str">
        <f>VLOOKUP(F337,teams_owners!A:B,2,FALSE)</f>
        <v>Fiona Kerry</v>
      </c>
      <c r="H337" s="25">
        <v>97.12</v>
      </c>
    </row>
    <row r="338" spans="1:8" ht="14.25" customHeight="1" x14ac:dyDescent="0.25">
      <c r="A338" s="23" t="s">
        <v>26</v>
      </c>
      <c r="B338" s="23" t="s">
        <v>57</v>
      </c>
      <c r="C338" s="23" t="s">
        <v>48</v>
      </c>
      <c r="D338" s="24" t="str">
        <f>VLOOKUP(C338,teams_owners!A:B,2,FALSE)</f>
        <v>Rob Taylor</v>
      </c>
      <c r="E338" s="25">
        <v>85.1</v>
      </c>
      <c r="F338" s="23" t="s">
        <v>67</v>
      </c>
      <c r="G338" s="24" t="str">
        <f>VLOOKUP(F338,teams_owners!A:B,2,FALSE)</f>
        <v>Rob Connet</v>
      </c>
      <c r="H338" s="25">
        <v>115.14</v>
      </c>
    </row>
    <row r="339" spans="1:8" ht="14.25" customHeight="1" x14ac:dyDescent="0.25">
      <c r="A339" s="23" t="s">
        <v>26</v>
      </c>
      <c r="B339" s="23" t="s">
        <v>57</v>
      </c>
      <c r="C339" s="23" t="s">
        <v>29</v>
      </c>
      <c r="D339" s="24" t="str">
        <f>VLOOKUP(C339,teams_owners!A:B,2,FALSE)</f>
        <v>Joe Wilko</v>
      </c>
      <c r="E339" s="25">
        <v>105.18</v>
      </c>
      <c r="F339" s="23" t="s">
        <v>78</v>
      </c>
      <c r="G339" s="24" t="str">
        <f>VLOOKUP(F339,teams_owners!A:B,2,FALSE)</f>
        <v>Luc Chignell</v>
      </c>
      <c r="H339" s="25">
        <v>115.78</v>
      </c>
    </row>
    <row r="340" spans="1:8" ht="14.25" customHeight="1" x14ac:dyDescent="0.25">
      <c r="A340" s="23" t="s">
        <v>26</v>
      </c>
      <c r="B340" s="23" t="s">
        <v>57</v>
      </c>
      <c r="C340" s="23" t="s">
        <v>71</v>
      </c>
      <c r="D340" s="24" t="str">
        <f>VLOOKUP(C340,teams_owners!A:B,2,FALSE)</f>
        <v>Rich Andrew</v>
      </c>
      <c r="E340" s="25">
        <v>128.94</v>
      </c>
      <c r="F340" s="23" t="s">
        <v>28</v>
      </c>
      <c r="G340" s="24" t="str">
        <f>VLOOKUP(F340,teams_owners!A:B,2,FALSE)</f>
        <v>Adam Wilko</v>
      </c>
      <c r="H340" s="25">
        <v>135.84</v>
      </c>
    </row>
    <row r="341" spans="1:8" ht="14.25" customHeight="1" x14ac:dyDescent="0.25">
      <c r="A341" s="23" t="s">
        <v>26</v>
      </c>
      <c r="B341" s="23" t="s">
        <v>57</v>
      </c>
      <c r="C341" s="23" t="s">
        <v>50</v>
      </c>
      <c r="D341" s="24" t="str">
        <f>VLOOKUP(C341,teams_owners!A:B,2,FALSE)</f>
        <v>Fiona Kerry</v>
      </c>
      <c r="E341" s="25">
        <v>92.94</v>
      </c>
      <c r="F341" s="23" t="s">
        <v>40</v>
      </c>
      <c r="G341" s="24" t="str">
        <f>VLOOKUP(F341,teams_owners!A:B,2,FALSE)</f>
        <v>Greg Mitchell</v>
      </c>
      <c r="H341" s="25">
        <v>116.22</v>
      </c>
    </row>
    <row r="342" spans="1:8" ht="14.25" customHeight="1" x14ac:dyDescent="0.25">
      <c r="A342" s="23" t="s">
        <v>26</v>
      </c>
      <c r="B342" s="23" t="s">
        <v>57</v>
      </c>
      <c r="C342" s="23" t="s">
        <v>42</v>
      </c>
      <c r="D342" s="24" t="str">
        <f>VLOOKUP(C342,teams_owners!A:B,2,FALSE)</f>
        <v>Dave Bracegirdle</v>
      </c>
      <c r="E342" s="25">
        <v>161.22</v>
      </c>
      <c r="F342" s="23" t="s">
        <v>83</v>
      </c>
      <c r="G342" s="24" t="str">
        <f>VLOOKUP(F342,teams_owners!A:B,2,FALSE)</f>
        <v>Nathan</v>
      </c>
      <c r="H342" s="25">
        <v>108.02</v>
      </c>
    </row>
    <row r="343" spans="1:8" ht="14.25" customHeight="1" x14ac:dyDescent="0.25">
      <c r="A343" s="23" t="s">
        <v>26</v>
      </c>
      <c r="B343" s="23" t="s">
        <v>41</v>
      </c>
      <c r="C343" s="23" t="s">
        <v>48</v>
      </c>
      <c r="D343" s="24" t="str">
        <f>VLOOKUP(C343,teams_owners!A:B,2,FALSE)</f>
        <v>Rob Taylor</v>
      </c>
      <c r="E343" s="25">
        <v>144.52000000000001</v>
      </c>
      <c r="F343" s="23" t="s">
        <v>50</v>
      </c>
      <c r="G343" s="24" t="str">
        <f>VLOOKUP(F343,teams_owners!A:B,2,FALSE)</f>
        <v>Fiona Kerry</v>
      </c>
      <c r="H343" s="25">
        <v>112.58</v>
      </c>
    </row>
    <row r="344" spans="1:8" ht="14.25" customHeight="1" x14ac:dyDescent="0.25">
      <c r="A344" s="23" t="s">
        <v>26</v>
      </c>
      <c r="B344" s="23" t="s">
        <v>41</v>
      </c>
      <c r="C344" s="23" t="s">
        <v>28</v>
      </c>
      <c r="D344" s="24" t="str">
        <f>VLOOKUP(C344,teams_owners!A:B,2,FALSE)</f>
        <v>Adam Wilko</v>
      </c>
      <c r="E344" s="25">
        <v>120.88</v>
      </c>
      <c r="F344" s="23" t="s">
        <v>67</v>
      </c>
      <c r="G344" s="24" t="str">
        <f>VLOOKUP(F344,teams_owners!A:B,2,FALSE)</f>
        <v>Rob Connet</v>
      </c>
      <c r="H344" s="25">
        <v>125.52</v>
      </c>
    </row>
    <row r="345" spans="1:8" ht="14.25" customHeight="1" x14ac:dyDescent="0.25">
      <c r="A345" s="23" t="s">
        <v>26</v>
      </c>
      <c r="B345" s="23" t="s">
        <v>41</v>
      </c>
      <c r="C345" s="23" t="s">
        <v>40</v>
      </c>
      <c r="D345" s="24" t="str">
        <f>VLOOKUP(C345,teams_owners!A:B,2,FALSE)</f>
        <v>Greg Mitchell</v>
      </c>
      <c r="E345" s="25">
        <v>139.22</v>
      </c>
      <c r="F345" s="23" t="s">
        <v>29</v>
      </c>
      <c r="G345" s="24" t="str">
        <f>VLOOKUP(F345,teams_owners!A:B,2,FALSE)</f>
        <v>Joe Wilko</v>
      </c>
      <c r="H345" s="25">
        <v>84.16</v>
      </c>
    </row>
    <row r="346" spans="1:8" ht="14.25" customHeight="1" x14ac:dyDescent="0.25">
      <c r="A346" s="23" t="s">
        <v>26</v>
      </c>
      <c r="B346" s="23" t="s">
        <v>41</v>
      </c>
      <c r="C346" s="23" t="s">
        <v>78</v>
      </c>
      <c r="D346" s="24" t="str">
        <f>VLOOKUP(C346,teams_owners!A:B,2,FALSE)</f>
        <v>Luc Chignell</v>
      </c>
      <c r="E346" s="25">
        <v>97.6</v>
      </c>
      <c r="F346" s="23" t="s">
        <v>83</v>
      </c>
      <c r="G346" s="24" t="str">
        <f>VLOOKUP(F346,teams_owners!A:B,2,FALSE)</f>
        <v>Nathan</v>
      </c>
      <c r="H346" s="25">
        <v>115.46</v>
      </c>
    </row>
    <row r="347" spans="1:8" ht="14.25" customHeight="1" x14ac:dyDescent="0.25">
      <c r="A347" s="23" t="s">
        <v>26</v>
      </c>
      <c r="B347" s="23" t="s">
        <v>41</v>
      </c>
      <c r="C347" s="23" t="s">
        <v>71</v>
      </c>
      <c r="D347" s="24" t="str">
        <f>VLOOKUP(C347,teams_owners!A:B,2,FALSE)</f>
        <v>Rich Andrew</v>
      </c>
      <c r="E347" s="25">
        <v>133.62</v>
      </c>
      <c r="F347" s="23" t="s">
        <v>36</v>
      </c>
      <c r="G347" s="24" t="str">
        <f>VLOOKUP(F347,teams_owners!A:B,2,FALSE)</f>
        <v>Dave Bracegirdle</v>
      </c>
      <c r="H347" s="25">
        <v>143.62</v>
      </c>
    </row>
    <row r="348" spans="1:8" ht="14.25" customHeight="1" x14ac:dyDescent="0.25">
      <c r="A348" s="23" t="s">
        <v>26</v>
      </c>
      <c r="B348" s="23" t="s">
        <v>27</v>
      </c>
      <c r="C348" s="23" t="s">
        <v>48</v>
      </c>
      <c r="D348" s="24" t="str">
        <f>VLOOKUP(C348,teams_owners!A:B,2,FALSE)</f>
        <v>Rob Taylor</v>
      </c>
      <c r="E348" s="25">
        <v>129.58000000000001</v>
      </c>
      <c r="F348" s="23" t="s">
        <v>36</v>
      </c>
      <c r="G348" s="24" t="str">
        <f>VLOOKUP(F348,teams_owners!A:B,2,FALSE)</f>
        <v>Dave Bracegirdle</v>
      </c>
      <c r="H348" s="25">
        <v>196.2</v>
      </c>
    </row>
    <row r="349" spans="1:8" ht="14.25" customHeight="1" x14ac:dyDescent="0.25">
      <c r="A349" s="23" t="s">
        <v>26</v>
      </c>
      <c r="B349" s="23" t="s">
        <v>27</v>
      </c>
      <c r="C349" s="23" t="s">
        <v>67</v>
      </c>
      <c r="D349" s="24" t="str">
        <f>VLOOKUP(C349,teams_owners!A:B,2,FALSE)</f>
        <v>Rob Connet</v>
      </c>
      <c r="E349" s="25">
        <v>60.36</v>
      </c>
      <c r="F349" s="23" t="s">
        <v>40</v>
      </c>
      <c r="G349" s="24" t="str">
        <f>VLOOKUP(F349,teams_owners!A:B,2,FALSE)</f>
        <v>Greg Mitchell</v>
      </c>
      <c r="H349" s="25">
        <v>137.47999999999999</v>
      </c>
    </row>
    <row r="350" spans="1:8" ht="14.25" customHeight="1" x14ac:dyDescent="0.25">
      <c r="A350" s="23" t="s">
        <v>26</v>
      </c>
      <c r="B350" s="23" t="s">
        <v>27</v>
      </c>
      <c r="C350" s="23" t="s">
        <v>28</v>
      </c>
      <c r="D350" s="24" t="str">
        <f>VLOOKUP(C350,teams_owners!A:B,2,FALSE)</f>
        <v>Adam Wilko</v>
      </c>
      <c r="E350" s="25">
        <v>233.72</v>
      </c>
      <c r="F350" s="23" t="s">
        <v>29</v>
      </c>
      <c r="G350" s="24" t="str">
        <f>VLOOKUP(F350,teams_owners!A:B,2,FALSE)</f>
        <v>Joe Wilko</v>
      </c>
      <c r="H350" s="25">
        <v>105.94</v>
      </c>
    </row>
    <row r="351" spans="1:8" ht="14.25" customHeight="1" x14ac:dyDescent="0.25">
      <c r="A351" s="23" t="s">
        <v>26</v>
      </c>
      <c r="B351" s="23" t="s">
        <v>27</v>
      </c>
      <c r="C351" s="23" t="s">
        <v>71</v>
      </c>
      <c r="D351" s="24" t="str">
        <f>VLOOKUP(C351,teams_owners!A:B,2,FALSE)</f>
        <v>Rich Andrew</v>
      </c>
      <c r="E351" s="25">
        <v>116.16</v>
      </c>
      <c r="F351" s="23" t="s">
        <v>78</v>
      </c>
      <c r="G351" s="24" t="str">
        <f>VLOOKUP(F351,teams_owners!A:B,2,FALSE)</f>
        <v>Luc Chignell</v>
      </c>
      <c r="H351" s="25">
        <v>145.47999999999999</v>
      </c>
    </row>
    <row r="352" spans="1:8" ht="14.25" customHeight="1" x14ac:dyDescent="0.25">
      <c r="A352" s="23" t="s">
        <v>26</v>
      </c>
      <c r="B352" s="23" t="s">
        <v>27</v>
      </c>
      <c r="C352" s="23" t="s">
        <v>50</v>
      </c>
      <c r="D352" s="24" t="str">
        <f>VLOOKUP(C352,teams_owners!A:B,2,FALSE)</f>
        <v>Fiona Kerry</v>
      </c>
      <c r="E352" s="25">
        <v>136.32</v>
      </c>
      <c r="F352" s="23" t="s">
        <v>83</v>
      </c>
      <c r="G352" s="24" t="str">
        <f>VLOOKUP(F352,teams_owners!A:B,2,FALSE)</f>
        <v>Nathan</v>
      </c>
      <c r="H352" s="25">
        <v>109.88</v>
      </c>
    </row>
    <row r="353" spans="1:8" ht="14.25" customHeight="1" x14ac:dyDescent="0.25">
      <c r="A353" s="23" t="s">
        <v>26</v>
      </c>
      <c r="B353" s="23" t="s">
        <v>46</v>
      </c>
      <c r="C353" s="23" t="s">
        <v>48</v>
      </c>
      <c r="D353" s="24" t="str">
        <f>VLOOKUP(C353,teams_owners!A:B,2,FALSE)</f>
        <v>Rob Taylor</v>
      </c>
      <c r="E353" s="25">
        <v>94.78</v>
      </c>
      <c r="F353" s="23" t="s">
        <v>40</v>
      </c>
      <c r="G353" s="24" t="str">
        <f>VLOOKUP(F353,teams_owners!A:B,2,FALSE)</f>
        <v>Greg Mitchell</v>
      </c>
      <c r="H353" s="25">
        <v>158.9</v>
      </c>
    </row>
    <row r="354" spans="1:8" ht="14.25" customHeight="1" x14ac:dyDescent="0.25">
      <c r="A354" s="23" t="s">
        <v>26</v>
      </c>
      <c r="B354" s="23" t="s">
        <v>46</v>
      </c>
      <c r="C354" s="23" t="s">
        <v>67</v>
      </c>
      <c r="D354" s="24" t="str">
        <f>VLOOKUP(C354,teams_owners!A:B,2,FALSE)</f>
        <v>Rob Connet</v>
      </c>
      <c r="E354" s="25">
        <v>119.04</v>
      </c>
      <c r="F354" s="23" t="s">
        <v>83</v>
      </c>
      <c r="G354" s="24" t="str">
        <f>VLOOKUP(F354,teams_owners!A:B,2,FALSE)</f>
        <v>Nathan</v>
      </c>
      <c r="H354" s="25">
        <v>130.63999999999999</v>
      </c>
    </row>
    <row r="355" spans="1:8" ht="14.25" customHeight="1" x14ac:dyDescent="0.25">
      <c r="A355" s="23" t="s">
        <v>26</v>
      </c>
      <c r="B355" s="23" t="s">
        <v>46</v>
      </c>
      <c r="C355" s="23" t="s">
        <v>71</v>
      </c>
      <c r="D355" s="24" t="str">
        <f>VLOOKUP(C355,teams_owners!A:B,2,FALSE)</f>
        <v>Rich Andrew</v>
      </c>
      <c r="E355" s="25">
        <v>124.5</v>
      </c>
      <c r="F355" s="23" t="s">
        <v>29</v>
      </c>
      <c r="G355" s="24" t="str">
        <f>VLOOKUP(F355,teams_owners!A:B,2,FALSE)</f>
        <v>Joe Wilko</v>
      </c>
      <c r="H355" s="25">
        <v>130.08000000000001</v>
      </c>
    </row>
    <row r="356" spans="1:8" ht="14.25" customHeight="1" x14ac:dyDescent="0.25">
      <c r="A356" s="23" t="s">
        <v>26</v>
      </c>
      <c r="B356" s="23" t="s">
        <v>46</v>
      </c>
      <c r="C356" s="23" t="s">
        <v>42</v>
      </c>
      <c r="D356" s="24" t="str">
        <f>VLOOKUP(C356,teams_owners!A:B,2,FALSE)</f>
        <v>Dave Bracegirdle</v>
      </c>
      <c r="E356" s="25">
        <v>149.91999999999999</v>
      </c>
      <c r="F356" s="23" t="s">
        <v>78</v>
      </c>
      <c r="G356" s="24" t="str">
        <f>VLOOKUP(F356,teams_owners!A:B,2,FALSE)</f>
        <v>Luc Chignell</v>
      </c>
      <c r="H356" s="25">
        <v>154.08000000000001</v>
      </c>
    </row>
    <row r="357" spans="1:8" ht="14.25" customHeight="1" x14ac:dyDescent="0.25">
      <c r="A357" s="23" t="s">
        <v>26</v>
      </c>
      <c r="B357" s="23" t="s">
        <v>46</v>
      </c>
      <c r="C357" s="23" t="s">
        <v>50</v>
      </c>
      <c r="D357" s="24" t="str">
        <f>VLOOKUP(C357,teams_owners!A:B,2,FALSE)</f>
        <v>Fiona Kerry</v>
      </c>
      <c r="E357" s="25">
        <v>99.38</v>
      </c>
      <c r="F357" s="23" t="s">
        <v>93</v>
      </c>
      <c r="G357" s="24" t="str">
        <f>VLOOKUP(F357,teams_owners!A:B,2,FALSE)</f>
        <v>Adam Wilko</v>
      </c>
      <c r="H357" s="25">
        <v>100.9</v>
      </c>
    </row>
    <row r="358" spans="1:8" ht="14.25" customHeight="1" x14ac:dyDescent="0.25">
      <c r="A358" s="23" t="s">
        <v>26</v>
      </c>
      <c r="B358" s="23" t="s">
        <v>54</v>
      </c>
      <c r="C358" s="23" t="s">
        <v>48</v>
      </c>
      <c r="D358" s="24" t="str">
        <f>VLOOKUP(C358,teams_owners!A:B,2,FALSE)</f>
        <v>Rob Taylor</v>
      </c>
      <c r="E358" s="25">
        <v>94.24</v>
      </c>
      <c r="F358" s="23" t="s">
        <v>28</v>
      </c>
      <c r="G358" s="24" t="str">
        <f>VLOOKUP(F358,teams_owners!A:B,2,FALSE)</f>
        <v>Adam Wilko</v>
      </c>
      <c r="H358" s="25">
        <v>121.48</v>
      </c>
    </row>
    <row r="359" spans="1:8" ht="14.25" customHeight="1" x14ac:dyDescent="0.25">
      <c r="A359" s="23" t="s">
        <v>26</v>
      </c>
      <c r="B359" s="23" t="s">
        <v>54</v>
      </c>
      <c r="C359" s="23" t="s">
        <v>71</v>
      </c>
      <c r="D359" s="24" t="str">
        <f>VLOOKUP(C359,teams_owners!A:B,2,FALSE)</f>
        <v>Rich Andrew</v>
      </c>
      <c r="E359" s="25">
        <v>105.94</v>
      </c>
      <c r="F359" s="23" t="s">
        <v>67</v>
      </c>
      <c r="G359" s="24" t="str">
        <f>VLOOKUP(F359,teams_owners!A:B,2,FALSE)</f>
        <v>Rob Connet</v>
      </c>
      <c r="H359" s="25">
        <v>76.98</v>
      </c>
    </row>
    <row r="360" spans="1:8" ht="14.25" customHeight="1" x14ac:dyDescent="0.25">
      <c r="A360" s="23" t="s">
        <v>26</v>
      </c>
      <c r="B360" s="23" t="s">
        <v>54</v>
      </c>
      <c r="C360" s="23" t="s">
        <v>29</v>
      </c>
      <c r="D360" s="24" t="str">
        <f>VLOOKUP(C360,teams_owners!A:B,2,FALSE)</f>
        <v>Joe Wilko</v>
      </c>
      <c r="E360" s="25">
        <v>122.54</v>
      </c>
      <c r="F360" s="23" t="s">
        <v>36</v>
      </c>
      <c r="G360" s="24" t="str">
        <f>VLOOKUP(F360,teams_owners!A:B,2,FALSE)</f>
        <v>Dave Bracegirdle</v>
      </c>
      <c r="H360" s="25">
        <v>137.32</v>
      </c>
    </row>
    <row r="361" spans="1:8" ht="14.25" customHeight="1" x14ac:dyDescent="0.25">
      <c r="A361" s="23" t="s">
        <v>26</v>
      </c>
      <c r="B361" s="23" t="s">
        <v>54</v>
      </c>
      <c r="C361" s="23" t="s">
        <v>50</v>
      </c>
      <c r="D361" s="24" t="str">
        <f>VLOOKUP(C361,teams_owners!A:B,2,FALSE)</f>
        <v>Fiona Kerry</v>
      </c>
      <c r="E361" s="25">
        <v>89.68</v>
      </c>
      <c r="F361" s="23" t="s">
        <v>78</v>
      </c>
      <c r="G361" s="24" t="str">
        <f>VLOOKUP(F361,teams_owners!A:B,2,FALSE)</f>
        <v>Luc Chignell</v>
      </c>
      <c r="H361" s="25">
        <v>152.38</v>
      </c>
    </row>
    <row r="362" spans="1:8" ht="14.25" customHeight="1" x14ac:dyDescent="0.25">
      <c r="A362" s="23" t="s">
        <v>26</v>
      </c>
      <c r="B362" s="23" t="s">
        <v>54</v>
      </c>
      <c r="C362" s="23" t="s">
        <v>40</v>
      </c>
      <c r="D362" s="24" t="str">
        <f>VLOOKUP(C362,teams_owners!A:B,2,FALSE)</f>
        <v>Greg Mitchell</v>
      </c>
      <c r="E362" s="25">
        <v>148.74</v>
      </c>
      <c r="F362" s="23" t="s">
        <v>83</v>
      </c>
      <c r="G362" s="24" t="str">
        <f>VLOOKUP(F362,teams_owners!A:B,2,FALSE)</f>
        <v>Nathan</v>
      </c>
      <c r="H362" s="25">
        <v>141.4</v>
      </c>
    </row>
    <row r="363" spans="1:8" ht="14.25" customHeight="1" x14ac:dyDescent="0.25">
      <c r="A363" s="23" t="s">
        <v>26</v>
      </c>
      <c r="B363" s="23" t="s">
        <v>55</v>
      </c>
      <c r="C363" s="23" t="s">
        <v>48</v>
      </c>
      <c r="D363" s="24" t="str">
        <f>VLOOKUP(C363,teams_owners!A:B,2,FALSE)</f>
        <v>Rob Taylor</v>
      </c>
      <c r="E363" s="25">
        <v>91.3</v>
      </c>
      <c r="F363" s="23" t="s">
        <v>83</v>
      </c>
      <c r="G363" s="24" t="str">
        <f>VLOOKUP(F363,teams_owners!A:B,2,FALSE)</f>
        <v>Nathan</v>
      </c>
      <c r="H363" s="25">
        <v>134.5</v>
      </c>
    </row>
    <row r="364" spans="1:8" ht="14.25" customHeight="1" x14ac:dyDescent="0.25">
      <c r="A364" s="23" t="s">
        <v>26</v>
      </c>
      <c r="B364" s="23" t="s">
        <v>55</v>
      </c>
      <c r="C364" s="23" t="s">
        <v>67</v>
      </c>
      <c r="D364" s="24" t="str">
        <f>VLOOKUP(C364,teams_owners!A:B,2,FALSE)</f>
        <v>Rob Connet</v>
      </c>
      <c r="E364" s="25">
        <v>111.46</v>
      </c>
      <c r="F364" s="23" t="s">
        <v>36</v>
      </c>
      <c r="G364" s="24" t="str">
        <f>VLOOKUP(F364,teams_owners!A:B,2,FALSE)</f>
        <v>Dave Bracegirdle</v>
      </c>
      <c r="H364" s="25">
        <v>109.56</v>
      </c>
    </row>
    <row r="365" spans="1:8" ht="14.25" customHeight="1" x14ac:dyDescent="0.25">
      <c r="A365" s="23" t="s">
        <v>26</v>
      </c>
      <c r="B365" s="23" t="s">
        <v>55</v>
      </c>
      <c r="C365" s="23" t="s">
        <v>50</v>
      </c>
      <c r="D365" s="24" t="str">
        <f>VLOOKUP(C365,teams_owners!A:B,2,FALSE)</f>
        <v>Fiona Kerry</v>
      </c>
      <c r="E365" s="25">
        <v>80.260000000000005</v>
      </c>
      <c r="F365" s="23" t="s">
        <v>29</v>
      </c>
      <c r="G365" s="24" t="str">
        <f>VLOOKUP(F365,teams_owners!A:B,2,FALSE)</f>
        <v>Joe Wilko</v>
      </c>
      <c r="H365" s="25">
        <v>147.30000000000001</v>
      </c>
    </row>
    <row r="366" spans="1:8" ht="14.25" customHeight="1" x14ac:dyDescent="0.25">
      <c r="A366" s="23" t="s">
        <v>26</v>
      </c>
      <c r="B366" s="23" t="s">
        <v>55</v>
      </c>
      <c r="C366" s="23" t="s">
        <v>28</v>
      </c>
      <c r="D366" s="24" t="str">
        <f>VLOOKUP(C366,teams_owners!A:B,2,FALSE)</f>
        <v>Adam Wilko</v>
      </c>
      <c r="E366" s="25">
        <v>116.82</v>
      </c>
      <c r="F366" s="23" t="s">
        <v>78</v>
      </c>
      <c r="G366" s="24" t="str">
        <f>VLOOKUP(F366,teams_owners!A:B,2,FALSE)</f>
        <v>Luc Chignell</v>
      </c>
      <c r="H366" s="25">
        <v>155.80000000000001</v>
      </c>
    </row>
    <row r="367" spans="1:8" ht="14.25" customHeight="1" x14ac:dyDescent="0.25">
      <c r="A367" s="23" t="s">
        <v>26</v>
      </c>
      <c r="B367" s="23" t="s">
        <v>55</v>
      </c>
      <c r="C367" s="23" t="s">
        <v>71</v>
      </c>
      <c r="D367" s="24" t="str">
        <f>VLOOKUP(C367,teams_owners!A:B,2,FALSE)</f>
        <v>Rich Andrew</v>
      </c>
      <c r="E367" s="25">
        <v>99.66</v>
      </c>
      <c r="F367" s="23" t="s">
        <v>40</v>
      </c>
      <c r="G367" s="24" t="str">
        <f>VLOOKUP(F367,teams_owners!A:B,2,FALSE)</f>
        <v>Greg Mitchell</v>
      </c>
      <c r="H367" s="25">
        <v>124.3</v>
      </c>
    </row>
    <row r="368" spans="1:8" ht="14.25" customHeight="1" x14ac:dyDescent="0.25">
      <c r="A368" s="23" t="s">
        <v>26</v>
      </c>
      <c r="B368" s="23" t="s">
        <v>77</v>
      </c>
      <c r="C368" s="23" t="s">
        <v>48</v>
      </c>
      <c r="D368" s="24" t="str">
        <f>VLOOKUP(C368,teams_owners!A:B,2,FALSE)</f>
        <v>Rob Taylor</v>
      </c>
      <c r="E368" s="25">
        <v>71.14</v>
      </c>
      <c r="F368" s="23" t="s">
        <v>71</v>
      </c>
      <c r="G368" s="24" t="str">
        <f>VLOOKUP(F368,teams_owners!A:B,2,FALSE)</f>
        <v>Rich Andrew</v>
      </c>
      <c r="H368" s="25">
        <v>106.88</v>
      </c>
    </row>
    <row r="369" spans="1:8" ht="14.25" customHeight="1" x14ac:dyDescent="0.25">
      <c r="A369" s="23" t="s">
        <v>26</v>
      </c>
      <c r="B369" s="23" t="s">
        <v>77</v>
      </c>
      <c r="C369" s="23" t="s">
        <v>50</v>
      </c>
      <c r="D369" s="24" t="str">
        <f>VLOOKUP(C369,teams_owners!A:B,2,FALSE)</f>
        <v>Fiona Kerry</v>
      </c>
      <c r="E369" s="25">
        <v>94.78</v>
      </c>
      <c r="F369" s="23" t="s">
        <v>67</v>
      </c>
      <c r="G369" s="24" t="str">
        <f>VLOOKUP(F369,teams_owners!A:B,2,FALSE)</f>
        <v>Rob Connet</v>
      </c>
      <c r="H369" s="25">
        <v>76.28</v>
      </c>
    </row>
    <row r="370" spans="1:8" ht="14.25" customHeight="1" x14ac:dyDescent="0.25">
      <c r="A370" s="23" t="s">
        <v>26</v>
      </c>
      <c r="B370" s="23" t="s">
        <v>77</v>
      </c>
      <c r="C370" s="23" t="s">
        <v>29</v>
      </c>
      <c r="D370" s="24" t="str">
        <f>VLOOKUP(C370,teams_owners!A:B,2,FALSE)</f>
        <v>Joe Wilko</v>
      </c>
      <c r="E370" s="25">
        <v>99.34</v>
      </c>
      <c r="F370" s="23" t="s">
        <v>83</v>
      </c>
      <c r="G370" s="24" t="str">
        <f>VLOOKUP(F370,teams_owners!A:B,2,FALSE)</f>
        <v>Nathan</v>
      </c>
      <c r="H370" s="25">
        <v>111.12</v>
      </c>
    </row>
    <row r="371" spans="1:8" ht="14.25" customHeight="1" x14ac:dyDescent="0.25">
      <c r="A371" s="23" t="s">
        <v>26</v>
      </c>
      <c r="B371" s="23" t="s">
        <v>77</v>
      </c>
      <c r="C371" s="23" t="s">
        <v>40</v>
      </c>
      <c r="D371" s="24" t="str">
        <f>VLOOKUP(C371,teams_owners!A:B,2,FALSE)</f>
        <v>Greg Mitchell</v>
      </c>
      <c r="E371" s="25">
        <v>109.24</v>
      </c>
      <c r="F371" s="23" t="s">
        <v>78</v>
      </c>
      <c r="G371" s="24" t="str">
        <f>VLOOKUP(F371,teams_owners!A:B,2,FALSE)</f>
        <v>Luc Chignell</v>
      </c>
      <c r="H371" s="25">
        <v>117.34</v>
      </c>
    </row>
    <row r="372" spans="1:8" ht="14.25" customHeight="1" x14ac:dyDescent="0.25">
      <c r="A372" s="23" t="s">
        <v>26</v>
      </c>
      <c r="B372" s="23" t="s">
        <v>77</v>
      </c>
      <c r="C372" s="23" t="s">
        <v>93</v>
      </c>
      <c r="D372" s="24" t="str">
        <f>VLOOKUP(C372,teams_owners!A:B,2,FALSE)</f>
        <v>Adam Wilko</v>
      </c>
      <c r="E372" s="25">
        <v>147.24</v>
      </c>
      <c r="F372" s="23" t="s">
        <v>36</v>
      </c>
      <c r="G372" s="24" t="str">
        <f>VLOOKUP(F372,teams_owners!A:B,2,FALSE)</f>
        <v>Dave Bracegirdle</v>
      </c>
      <c r="H372" s="25">
        <v>109.46</v>
      </c>
    </row>
    <row r="373" spans="1:8" ht="14.25" customHeight="1" x14ac:dyDescent="0.25">
      <c r="A373" s="23" t="s">
        <v>26</v>
      </c>
      <c r="B373" s="23" t="s">
        <v>84</v>
      </c>
      <c r="C373" s="23" t="s">
        <v>48</v>
      </c>
      <c r="D373" s="24" t="str">
        <f>VLOOKUP(C373,teams_owners!A:B,2,FALSE)</f>
        <v>Rob Taylor</v>
      </c>
      <c r="E373" s="25">
        <v>132.44</v>
      </c>
      <c r="F373" s="23" t="s">
        <v>78</v>
      </c>
      <c r="G373" s="24" t="str">
        <f>VLOOKUP(F373,teams_owners!A:B,2,FALSE)</f>
        <v>Luc Chignell</v>
      </c>
      <c r="H373" s="25">
        <v>111.88</v>
      </c>
    </row>
    <row r="374" spans="1:8" ht="14.25" customHeight="1" x14ac:dyDescent="0.25">
      <c r="A374" s="23" t="s">
        <v>26</v>
      </c>
      <c r="B374" s="23" t="s">
        <v>84</v>
      </c>
      <c r="C374" s="23" t="s">
        <v>67</v>
      </c>
      <c r="D374" s="24" t="str">
        <f>VLOOKUP(C374,teams_owners!A:B,2,FALSE)</f>
        <v>Rob Connet</v>
      </c>
      <c r="E374" s="25">
        <v>95.08</v>
      </c>
      <c r="F374" s="23" t="s">
        <v>29</v>
      </c>
      <c r="G374" s="24" t="str">
        <f>VLOOKUP(F374,teams_owners!A:B,2,FALSE)</f>
        <v>Joe Wilko</v>
      </c>
      <c r="H374" s="25">
        <v>79.8</v>
      </c>
    </row>
    <row r="375" spans="1:8" ht="14.25" customHeight="1" x14ac:dyDescent="0.25">
      <c r="A375" s="23" t="s">
        <v>26</v>
      </c>
      <c r="B375" s="23" t="s">
        <v>84</v>
      </c>
      <c r="C375" s="23" t="s">
        <v>93</v>
      </c>
      <c r="D375" s="24" t="str">
        <f>VLOOKUP(C375,teams_owners!A:B,2,FALSE)</f>
        <v>Adam Wilko</v>
      </c>
      <c r="E375" s="25">
        <v>120.7</v>
      </c>
      <c r="F375" s="23" t="s">
        <v>40</v>
      </c>
      <c r="G375" s="24" t="str">
        <f>VLOOKUP(F375,teams_owners!A:B,2,FALSE)</f>
        <v>Greg Mitchell</v>
      </c>
      <c r="H375" s="25">
        <v>100.6</v>
      </c>
    </row>
    <row r="376" spans="1:8" ht="14.25" customHeight="1" x14ac:dyDescent="0.25">
      <c r="A376" s="23" t="s">
        <v>26</v>
      </c>
      <c r="B376" s="23" t="s">
        <v>84</v>
      </c>
      <c r="C376" s="23" t="s">
        <v>71</v>
      </c>
      <c r="D376" s="24" t="str">
        <f>VLOOKUP(C376,teams_owners!A:B,2,FALSE)</f>
        <v>Rich Andrew</v>
      </c>
      <c r="E376" s="25">
        <v>120.64</v>
      </c>
      <c r="F376" s="23" t="s">
        <v>83</v>
      </c>
      <c r="G376" s="24" t="str">
        <f>VLOOKUP(F376,teams_owners!A:B,2,FALSE)</f>
        <v>Nathan</v>
      </c>
      <c r="H376" s="25">
        <v>155.72</v>
      </c>
    </row>
    <row r="377" spans="1:8" ht="14.25" customHeight="1" x14ac:dyDescent="0.25">
      <c r="A377" s="23" t="s">
        <v>26</v>
      </c>
      <c r="B377" s="23" t="s">
        <v>84</v>
      </c>
      <c r="C377" s="23" t="s">
        <v>50</v>
      </c>
      <c r="D377" s="24" t="str">
        <f>VLOOKUP(C377,teams_owners!A:B,2,FALSE)</f>
        <v>Fiona Kerry</v>
      </c>
      <c r="E377" s="25">
        <v>89.96</v>
      </c>
      <c r="F377" s="23" t="s">
        <v>36</v>
      </c>
      <c r="G377" s="24" t="str">
        <f>VLOOKUP(F377,teams_owners!A:B,2,FALSE)</f>
        <v>Dave Bracegirdle</v>
      </c>
      <c r="H377" s="25">
        <v>125.04</v>
      </c>
    </row>
    <row r="378" spans="1:8" ht="14.25" customHeight="1" x14ac:dyDescent="0.25">
      <c r="A378" s="23" t="s">
        <v>26</v>
      </c>
      <c r="B378" s="23" t="s">
        <v>39</v>
      </c>
      <c r="C378" s="23" t="s">
        <v>48</v>
      </c>
      <c r="D378" s="24" t="str">
        <f>VLOOKUP(C378,teams_owners!A:B,2,FALSE)</f>
        <v>Rob Taylor</v>
      </c>
      <c r="E378" s="25">
        <v>96.8</v>
      </c>
      <c r="F378" s="23" t="s">
        <v>29</v>
      </c>
      <c r="G378" s="24" t="str">
        <f>VLOOKUP(F378,teams_owners!A:B,2,FALSE)</f>
        <v>Joe Wilko</v>
      </c>
      <c r="H378" s="25">
        <v>78.48</v>
      </c>
    </row>
    <row r="379" spans="1:8" ht="14.25" customHeight="1" x14ac:dyDescent="0.25">
      <c r="A379" s="23" t="s">
        <v>26</v>
      </c>
      <c r="B379" s="23" t="s">
        <v>39</v>
      </c>
      <c r="C379" s="23" t="s">
        <v>67</v>
      </c>
      <c r="D379" s="24" t="str">
        <f>VLOOKUP(C379,teams_owners!A:B,2,FALSE)</f>
        <v>Rob Connet</v>
      </c>
      <c r="E379" s="25">
        <v>112.2</v>
      </c>
      <c r="F379" s="23" t="s">
        <v>78</v>
      </c>
      <c r="G379" s="24" t="str">
        <f>VLOOKUP(F379,teams_owners!A:B,2,FALSE)</f>
        <v>Luc Chignell</v>
      </c>
      <c r="H379" s="25">
        <v>103.16</v>
      </c>
    </row>
    <row r="380" spans="1:8" ht="14.25" customHeight="1" x14ac:dyDescent="0.25">
      <c r="A380" s="23" t="s">
        <v>26</v>
      </c>
      <c r="B380" s="23" t="s">
        <v>39</v>
      </c>
      <c r="C380" s="23" t="s">
        <v>93</v>
      </c>
      <c r="D380" s="24" t="str">
        <f>VLOOKUP(C380,teams_owners!A:B,2,FALSE)</f>
        <v>Adam Wilko</v>
      </c>
      <c r="E380" s="25">
        <v>151.68</v>
      </c>
      <c r="F380" s="23" t="s">
        <v>83</v>
      </c>
      <c r="G380" s="24" t="str">
        <f>VLOOKUP(F380,teams_owners!A:B,2,FALSE)</f>
        <v>Nathan</v>
      </c>
      <c r="H380" s="25">
        <v>107.12</v>
      </c>
    </row>
    <row r="381" spans="1:8" ht="14.25" customHeight="1" x14ac:dyDescent="0.25">
      <c r="A381" s="23" t="s">
        <v>26</v>
      </c>
      <c r="B381" s="23" t="s">
        <v>39</v>
      </c>
      <c r="C381" s="23" t="s">
        <v>40</v>
      </c>
      <c r="D381" s="24" t="str">
        <f>VLOOKUP(C381,teams_owners!A:B,2,FALSE)</f>
        <v>Greg Mitchell</v>
      </c>
      <c r="E381" s="25">
        <v>129.58000000000001</v>
      </c>
      <c r="F381" s="23" t="s">
        <v>36</v>
      </c>
      <c r="G381" s="24" t="str">
        <f>VLOOKUP(F381,teams_owners!A:B,2,FALSE)</f>
        <v>Dave Bracegirdle</v>
      </c>
      <c r="H381" s="25">
        <v>213.36</v>
      </c>
    </row>
    <row r="382" spans="1:8" ht="14.25" customHeight="1" x14ac:dyDescent="0.25">
      <c r="A382" s="23" t="s">
        <v>26</v>
      </c>
      <c r="B382" s="23" t="s">
        <v>39</v>
      </c>
      <c r="C382" s="23" t="s">
        <v>71</v>
      </c>
      <c r="D382" s="24" t="str">
        <f>VLOOKUP(C382,teams_owners!A:B,2,FALSE)</f>
        <v>Rich Andrew</v>
      </c>
      <c r="E382" s="25">
        <v>114.18</v>
      </c>
      <c r="F382" s="23" t="s">
        <v>50</v>
      </c>
      <c r="G382" s="24" t="str">
        <f>VLOOKUP(F382,teams_owners!A:B,2,FALSE)</f>
        <v>Fiona Kerry</v>
      </c>
      <c r="H382" s="25">
        <v>92.94</v>
      </c>
    </row>
    <row r="383" spans="1:8" ht="14.25" customHeight="1" x14ac:dyDescent="0.25">
      <c r="A383" s="23" t="s">
        <v>26</v>
      </c>
      <c r="B383" s="23" t="s">
        <v>62</v>
      </c>
      <c r="C383" s="23" t="s">
        <v>48</v>
      </c>
      <c r="D383" s="24" t="str">
        <f>VLOOKUP(C383,teams_owners!A:B,2,FALSE)</f>
        <v>Rob Taylor</v>
      </c>
      <c r="E383" s="25">
        <v>91.02</v>
      </c>
      <c r="F383" s="23" t="s">
        <v>67</v>
      </c>
      <c r="G383" s="24" t="str">
        <f>VLOOKUP(F383,teams_owners!A:B,2,FALSE)</f>
        <v>Rob Connet</v>
      </c>
      <c r="H383" s="25">
        <v>115.48</v>
      </c>
    </row>
    <row r="384" spans="1:8" ht="14.25" customHeight="1" x14ac:dyDescent="0.25">
      <c r="A384" s="23" t="s">
        <v>26</v>
      </c>
      <c r="B384" s="23" t="s">
        <v>62</v>
      </c>
      <c r="C384" s="23" t="s">
        <v>29</v>
      </c>
      <c r="D384" s="24" t="str">
        <f>VLOOKUP(C384,teams_owners!A:B,2,FALSE)</f>
        <v>Joe Wilko</v>
      </c>
      <c r="E384" s="25">
        <v>117.54</v>
      </c>
      <c r="F384" s="23" t="s">
        <v>78</v>
      </c>
      <c r="G384" s="24" t="str">
        <f>VLOOKUP(F384,teams_owners!A:B,2,FALSE)</f>
        <v>Luc Chignell</v>
      </c>
      <c r="H384" s="25">
        <v>109.4</v>
      </c>
    </row>
    <row r="385" spans="1:8" ht="14.25" customHeight="1" x14ac:dyDescent="0.25">
      <c r="A385" s="23" t="s">
        <v>26</v>
      </c>
      <c r="B385" s="23" t="s">
        <v>62</v>
      </c>
      <c r="C385" s="23" t="s">
        <v>71</v>
      </c>
      <c r="D385" s="24" t="str">
        <f>VLOOKUP(C385,teams_owners!A:B,2,FALSE)</f>
        <v>Rich Andrew</v>
      </c>
      <c r="E385" s="25">
        <v>94.06</v>
      </c>
      <c r="F385" s="23" t="s">
        <v>28</v>
      </c>
      <c r="G385" s="24" t="str">
        <f>VLOOKUP(F385,teams_owners!A:B,2,FALSE)</f>
        <v>Adam Wilko</v>
      </c>
      <c r="H385" s="25">
        <v>100.42</v>
      </c>
    </row>
    <row r="386" spans="1:8" ht="14.25" customHeight="1" x14ac:dyDescent="0.25">
      <c r="A386" s="23" t="s">
        <v>26</v>
      </c>
      <c r="B386" s="23" t="s">
        <v>62</v>
      </c>
      <c r="C386" s="23" t="s">
        <v>50</v>
      </c>
      <c r="D386" s="24" t="str">
        <f>VLOOKUP(C386,teams_owners!A:B,2,FALSE)</f>
        <v>Fiona Kerry</v>
      </c>
      <c r="E386" s="25">
        <v>126.9</v>
      </c>
      <c r="F386" s="23" t="s">
        <v>40</v>
      </c>
      <c r="G386" s="24" t="str">
        <f>VLOOKUP(F386,teams_owners!A:B,2,FALSE)</f>
        <v>Greg Mitchell</v>
      </c>
      <c r="H386" s="25">
        <v>107.2</v>
      </c>
    </row>
    <row r="387" spans="1:8" ht="14.25" customHeight="1" x14ac:dyDescent="0.25">
      <c r="A387" s="23" t="s">
        <v>26</v>
      </c>
      <c r="B387" s="23" t="s">
        <v>62</v>
      </c>
      <c r="C387" s="23" t="s">
        <v>42</v>
      </c>
      <c r="D387" s="24" t="str">
        <f>VLOOKUP(C387,teams_owners!A:B,2,FALSE)</f>
        <v>Dave Bracegirdle</v>
      </c>
      <c r="E387" s="25">
        <v>143.56</v>
      </c>
      <c r="F387" s="23" t="s">
        <v>83</v>
      </c>
      <c r="G387" s="24" t="str">
        <f>VLOOKUP(F387,teams_owners!A:B,2,FALSE)</f>
        <v>Nathan</v>
      </c>
      <c r="H387" s="25">
        <v>100.78</v>
      </c>
    </row>
    <row r="388" spans="1:8" ht="14.25" customHeight="1" x14ac:dyDescent="0.25">
      <c r="A388" s="23" t="s">
        <v>26</v>
      </c>
      <c r="B388" s="23" t="s">
        <v>70</v>
      </c>
      <c r="C388" s="23" t="s">
        <v>48</v>
      </c>
      <c r="D388" s="24" t="str">
        <f>VLOOKUP(C388,teams_owners!A:B,2,FALSE)</f>
        <v>Rob Taylor</v>
      </c>
      <c r="E388" s="25">
        <v>124.16</v>
      </c>
      <c r="F388" s="23" t="s">
        <v>50</v>
      </c>
      <c r="G388" s="24" t="str">
        <f>VLOOKUP(F388,teams_owners!A:B,2,FALSE)</f>
        <v>Fiona Kerry</v>
      </c>
      <c r="H388" s="25">
        <v>103.42</v>
      </c>
    </row>
    <row r="389" spans="1:8" ht="14.25" customHeight="1" x14ac:dyDescent="0.25">
      <c r="A389" s="23" t="s">
        <v>26</v>
      </c>
      <c r="B389" s="23" t="s">
        <v>70</v>
      </c>
      <c r="C389" s="23" t="s">
        <v>93</v>
      </c>
      <c r="D389" s="24" t="str">
        <f>VLOOKUP(C389,teams_owners!A:B,2,FALSE)</f>
        <v>Adam Wilko</v>
      </c>
      <c r="E389" s="25">
        <v>122.48</v>
      </c>
      <c r="F389" s="23" t="s">
        <v>67</v>
      </c>
      <c r="G389" s="24" t="str">
        <f>VLOOKUP(F389,teams_owners!A:B,2,FALSE)</f>
        <v>Rob Connet</v>
      </c>
      <c r="H389" s="25">
        <v>97</v>
      </c>
    </row>
    <row r="390" spans="1:8" ht="14.25" customHeight="1" x14ac:dyDescent="0.25">
      <c r="A390" s="23" t="s">
        <v>26</v>
      </c>
      <c r="B390" s="23" t="s">
        <v>70</v>
      </c>
      <c r="C390" s="23" t="s">
        <v>40</v>
      </c>
      <c r="D390" s="24" t="str">
        <f>VLOOKUP(C390,teams_owners!A:B,2,FALSE)</f>
        <v>Greg Mitchell</v>
      </c>
      <c r="E390" s="25">
        <v>88</v>
      </c>
      <c r="F390" s="23" t="s">
        <v>29</v>
      </c>
      <c r="G390" s="24" t="str">
        <f>VLOOKUP(F390,teams_owners!A:B,2,FALSE)</f>
        <v>Joe Wilko</v>
      </c>
      <c r="H390" s="25">
        <v>123.82</v>
      </c>
    </row>
    <row r="391" spans="1:8" ht="14.25" customHeight="1" x14ac:dyDescent="0.25">
      <c r="A391" s="23" t="s">
        <v>26</v>
      </c>
      <c r="B391" s="23" t="s">
        <v>70</v>
      </c>
      <c r="C391" s="23" t="s">
        <v>78</v>
      </c>
      <c r="D391" s="24" t="str">
        <f>VLOOKUP(C391,teams_owners!A:B,2,FALSE)</f>
        <v>Luc Chignell</v>
      </c>
      <c r="E391" s="25">
        <v>108.92</v>
      </c>
      <c r="F391" s="23" t="s">
        <v>83</v>
      </c>
      <c r="G391" s="24" t="str">
        <f>VLOOKUP(F391,teams_owners!A:B,2,FALSE)</f>
        <v>Nathan</v>
      </c>
      <c r="H391" s="25">
        <v>156.04</v>
      </c>
    </row>
    <row r="392" spans="1:8" ht="14.25" customHeight="1" x14ac:dyDescent="0.25">
      <c r="A392" s="23" t="s">
        <v>26</v>
      </c>
      <c r="B392" s="23" t="s">
        <v>70</v>
      </c>
      <c r="C392" s="23" t="s">
        <v>71</v>
      </c>
      <c r="D392" s="24" t="str">
        <f>VLOOKUP(C392,teams_owners!A:B,2,FALSE)</f>
        <v>Rich Andrew</v>
      </c>
      <c r="E392" s="25">
        <v>166.42</v>
      </c>
      <c r="F392" s="23" t="s">
        <v>36</v>
      </c>
      <c r="G392" s="24" t="str">
        <f>VLOOKUP(F392,teams_owners!A:B,2,FALSE)</f>
        <v>Dave Bracegirdle</v>
      </c>
      <c r="H392" s="25">
        <v>141.1</v>
      </c>
    </row>
    <row r="393" spans="1:8" ht="14.25" customHeight="1" x14ac:dyDescent="0.25">
      <c r="A393" s="23" t="s">
        <v>26</v>
      </c>
      <c r="B393" s="23" t="s">
        <v>85</v>
      </c>
      <c r="C393" s="23" t="s">
        <v>48</v>
      </c>
      <c r="D393" s="24" t="str">
        <f>VLOOKUP(C393,teams_owners!A:B,2,FALSE)</f>
        <v>Rob Taylor</v>
      </c>
      <c r="E393" s="25">
        <v>103.52</v>
      </c>
      <c r="F393" s="23" t="s">
        <v>36</v>
      </c>
      <c r="G393" s="24" t="str">
        <f>VLOOKUP(F393,teams_owners!A:B,2,FALSE)</f>
        <v>Dave Bracegirdle</v>
      </c>
      <c r="H393" s="25">
        <v>141.32</v>
      </c>
    </row>
    <row r="394" spans="1:8" ht="14.25" customHeight="1" x14ac:dyDescent="0.25">
      <c r="A394" s="23" t="s">
        <v>26</v>
      </c>
      <c r="B394" s="23" t="s">
        <v>85</v>
      </c>
      <c r="C394" s="23" t="s">
        <v>67</v>
      </c>
      <c r="D394" s="24" t="str">
        <f>VLOOKUP(C394,teams_owners!A:B,2,FALSE)</f>
        <v>Rob Connet</v>
      </c>
      <c r="E394" s="25">
        <v>116.04</v>
      </c>
      <c r="F394" s="23" t="s">
        <v>40</v>
      </c>
      <c r="G394" s="24" t="str">
        <f>VLOOKUP(F394,teams_owners!A:B,2,FALSE)</f>
        <v>Greg Mitchell</v>
      </c>
      <c r="H394" s="25">
        <v>113.04</v>
      </c>
    </row>
    <row r="395" spans="1:8" ht="14.25" customHeight="1" x14ac:dyDescent="0.25">
      <c r="A395" s="23" t="s">
        <v>26</v>
      </c>
      <c r="B395" s="23" t="s">
        <v>85</v>
      </c>
      <c r="C395" s="23" t="s">
        <v>93</v>
      </c>
      <c r="D395" s="24" t="str">
        <f>VLOOKUP(C395,teams_owners!A:B,2,FALSE)</f>
        <v>Adam Wilko</v>
      </c>
      <c r="E395" s="25">
        <v>158.19999999999999</v>
      </c>
      <c r="F395" s="23" t="s">
        <v>29</v>
      </c>
      <c r="G395" s="24" t="str">
        <f>VLOOKUP(F395,teams_owners!A:B,2,FALSE)</f>
        <v>Joe Wilko</v>
      </c>
      <c r="H395" s="25">
        <v>114.82</v>
      </c>
    </row>
    <row r="396" spans="1:8" ht="14.25" customHeight="1" x14ac:dyDescent="0.25">
      <c r="A396" s="23" t="s">
        <v>26</v>
      </c>
      <c r="B396" s="23" t="s">
        <v>85</v>
      </c>
      <c r="C396" s="23" t="s">
        <v>71</v>
      </c>
      <c r="D396" s="24" t="str">
        <f>VLOOKUP(C396,teams_owners!A:B,2,FALSE)</f>
        <v>Rich Andrew</v>
      </c>
      <c r="E396" s="25">
        <v>123.52</v>
      </c>
      <c r="F396" s="23" t="s">
        <v>78</v>
      </c>
      <c r="G396" s="24" t="str">
        <f>VLOOKUP(F396,teams_owners!A:B,2,FALSE)</f>
        <v>Luc Chignell</v>
      </c>
      <c r="H396" s="25">
        <v>128.28</v>
      </c>
    </row>
    <row r="397" spans="1:8" ht="14.25" customHeight="1" x14ac:dyDescent="0.25">
      <c r="A397" s="23" t="s">
        <v>26</v>
      </c>
      <c r="B397" s="23" t="s">
        <v>85</v>
      </c>
      <c r="C397" s="23" t="s">
        <v>50</v>
      </c>
      <c r="D397" s="24" t="str">
        <f>VLOOKUP(C397,teams_owners!A:B,2,FALSE)</f>
        <v>Fiona Kerry</v>
      </c>
      <c r="E397" s="25">
        <v>116.64</v>
      </c>
      <c r="F397" s="23" t="s">
        <v>83</v>
      </c>
      <c r="G397" s="24" t="str">
        <f>VLOOKUP(F397,teams_owners!A:B,2,FALSE)</f>
        <v>Nathan</v>
      </c>
      <c r="H397" s="25">
        <v>131.19999999999999</v>
      </c>
    </row>
    <row r="398" spans="1:8" ht="14.25" customHeight="1" x14ac:dyDescent="0.25">
      <c r="A398" s="23" t="s">
        <v>26</v>
      </c>
      <c r="B398" s="23" t="s">
        <v>31</v>
      </c>
      <c r="C398" s="23" t="s">
        <v>78</v>
      </c>
      <c r="D398" s="24" t="str">
        <f>VLOOKUP(C398,teams_owners!A:B,2,FALSE)</f>
        <v>Luc Chignell</v>
      </c>
      <c r="E398" s="25">
        <v>123.58</v>
      </c>
      <c r="F398" s="23" t="s">
        <v>83</v>
      </c>
      <c r="G398" s="24" t="str">
        <f>VLOOKUP(F398,teams_owners!A:B,2,FALSE)</f>
        <v>Nathan</v>
      </c>
      <c r="H398" s="25">
        <v>110.84</v>
      </c>
    </row>
    <row r="399" spans="1:8" ht="14.25" customHeight="1" x14ac:dyDescent="0.25">
      <c r="A399" s="23" t="s">
        <v>26</v>
      </c>
      <c r="B399" s="23" t="s">
        <v>20</v>
      </c>
      <c r="C399" s="23" t="s">
        <v>48</v>
      </c>
      <c r="D399" s="24" t="str">
        <f>VLOOKUP(C399,teams_owners!A:B,2,FALSE)</f>
        <v>Rob Taylor</v>
      </c>
      <c r="E399" s="25">
        <v>109.02</v>
      </c>
      <c r="F399" s="23" t="s">
        <v>29</v>
      </c>
      <c r="G399" s="24" t="str">
        <f>VLOOKUP(F399,teams_owners!A:B,2,FALSE)</f>
        <v>Joe Wilko</v>
      </c>
      <c r="H399" s="25">
        <v>73.88</v>
      </c>
    </row>
    <row r="400" spans="1:8" ht="14.25" customHeight="1" x14ac:dyDescent="0.25">
      <c r="A400" s="23" t="s">
        <v>26</v>
      </c>
      <c r="B400" s="23" t="s">
        <v>49</v>
      </c>
      <c r="C400" s="23" t="s">
        <v>50</v>
      </c>
      <c r="D400" s="24" t="str">
        <f>VLOOKUP(C400,teams_owners!A:B,2,FALSE)</f>
        <v>Fiona Kerry</v>
      </c>
      <c r="E400" s="25">
        <v>49.58</v>
      </c>
      <c r="F400" s="23" t="s">
        <v>29</v>
      </c>
      <c r="G400" s="24" t="str">
        <f>VLOOKUP(F400,teams_owners!A:B,2,FALSE)</f>
        <v>Joe Wilko</v>
      </c>
      <c r="H400" s="25">
        <v>81.16</v>
      </c>
    </row>
    <row r="401" spans="1:8" ht="14.25" customHeight="1" x14ac:dyDescent="0.25">
      <c r="A401" s="23" t="s">
        <v>26</v>
      </c>
      <c r="B401" s="23" t="s">
        <v>49</v>
      </c>
      <c r="C401" s="23" t="s">
        <v>48</v>
      </c>
      <c r="D401" s="24" t="str">
        <f>VLOOKUP(C401,teams_owners!A:B,2,FALSE)</f>
        <v>Rob Taylor</v>
      </c>
      <c r="E401" s="25">
        <v>133.19999999999999</v>
      </c>
      <c r="F401" s="23" t="s">
        <v>71</v>
      </c>
      <c r="G401" s="24" t="str">
        <f>VLOOKUP(F401,teams_owners!A:B,2,FALSE)</f>
        <v>Rich Andrew</v>
      </c>
      <c r="H401" s="25">
        <v>79.98</v>
      </c>
    </row>
    <row r="402" spans="1:8" ht="14.25" customHeight="1" x14ac:dyDescent="0.25">
      <c r="A402" s="23" t="s">
        <v>26</v>
      </c>
      <c r="B402" s="23" t="s">
        <v>35</v>
      </c>
      <c r="C402" s="23" t="s">
        <v>28</v>
      </c>
      <c r="D402" s="24" t="str">
        <f>VLOOKUP(C402,teams_owners!A:B,2,FALSE)</f>
        <v>Adam Wilko</v>
      </c>
      <c r="E402" s="26">
        <v>151.13999999999999</v>
      </c>
      <c r="F402" s="23" t="s">
        <v>36</v>
      </c>
      <c r="G402" s="24" t="str">
        <f>VLOOKUP(F402,teams_owners!A:B,2,FALSE)</f>
        <v>Dave Bracegirdle</v>
      </c>
      <c r="H402" s="26">
        <v>99.72</v>
      </c>
    </row>
    <row r="403" spans="1:8" ht="14.25" customHeight="1" x14ac:dyDescent="0.25">
      <c r="A403" s="23" t="s">
        <v>26</v>
      </c>
      <c r="B403" s="23" t="s">
        <v>89</v>
      </c>
      <c r="C403" s="23" t="s">
        <v>28</v>
      </c>
      <c r="D403" s="24" t="str">
        <f>VLOOKUP(C403,teams_owners!A:B,2,FALSE)</f>
        <v>Adam Wilko</v>
      </c>
      <c r="E403" s="25">
        <v>116.74</v>
      </c>
      <c r="F403" s="23" t="s">
        <v>78</v>
      </c>
      <c r="G403" s="24" t="str">
        <f>VLOOKUP(F403,teams_owners!A:B,2,FALSE)</f>
        <v>Luc Chignell</v>
      </c>
      <c r="H403" s="25">
        <v>109.86</v>
      </c>
    </row>
    <row r="404" spans="1:8" ht="14.25" customHeight="1" x14ac:dyDescent="0.25">
      <c r="A404" s="23" t="s">
        <v>26</v>
      </c>
      <c r="B404" s="23" t="s">
        <v>89</v>
      </c>
      <c r="C404" s="23" t="s">
        <v>42</v>
      </c>
      <c r="D404" s="24" t="str">
        <f>VLOOKUP(C404,teams_owners!A:B,2,FALSE)</f>
        <v>Dave Bracegirdle</v>
      </c>
      <c r="E404" s="25">
        <v>119.4</v>
      </c>
      <c r="F404" s="23" t="s">
        <v>83</v>
      </c>
      <c r="G404" s="24" t="str">
        <f>VLOOKUP(F404,teams_owners!A:B,2,FALSE)</f>
        <v>Nathan</v>
      </c>
      <c r="H404" s="25">
        <v>84.44</v>
      </c>
    </row>
    <row r="405" spans="1:8" ht="14.25" customHeight="1" x14ac:dyDescent="0.25">
      <c r="A405" s="23" t="s">
        <v>26</v>
      </c>
      <c r="B405" s="23" t="s">
        <v>72</v>
      </c>
      <c r="C405" s="23" t="s">
        <v>50</v>
      </c>
      <c r="D405" s="24" t="str">
        <f>VLOOKUP(C405,teams_owners!A:B,2,FALSE)</f>
        <v>Fiona Kerry</v>
      </c>
      <c r="E405" s="25">
        <v>103.4</v>
      </c>
      <c r="F405" s="23" t="s">
        <v>71</v>
      </c>
      <c r="G405" s="24" t="str">
        <f>VLOOKUP(F405,teams_owners!A:B,2,FALSE)</f>
        <v>Rich Andrew</v>
      </c>
      <c r="H405" s="25">
        <v>112.46</v>
      </c>
    </row>
    <row r="406" spans="1:8" ht="14.25" customHeight="1" x14ac:dyDescent="0.25">
      <c r="A406" s="23" t="s">
        <v>503</v>
      </c>
      <c r="B406" s="23" t="s">
        <v>8</v>
      </c>
      <c r="C406" s="23" t="s">
        <v>504</v>
      </c>
      <c r="D406" s="24" t="str">
        <f>VLOOKUP(C406,teams_owners!A:B,2,FALSE)</f>
        <v>Rob Taylor</v>
      </c>
      <c r="E406" s="27">
        <v>128.22</v>
      </c>
      <c r="F406" s="23" t="s">
        <v>78</v>
      </c>
      <c r="G406" s="24" t="str">
        <f>VLOOKUP(F406,teams_owners!A:B,2,FALSE)</f>
        <v>Luc Chignell</v>
      </c>
      <c r="H406" s="27">
        <v>85.22</v>
      </c>
    </row>
    <row r="407" spans="1:8" ht="14.25" customHeight="1" x14ac:dyDescent="0.25">
      <c r="A407" s="23" t="s">
        <v>503</v>
      </c>
      <c r="B407" s="23" t="s">
        <v>8</v>
      </c>
      <c r="C407" s="23" t="s">
        <v>505</v>
      </c>
      <c r="D407" s="24" t="str">
        <f>VLOOKUP(C407,teams_owners!A:B,2,FALSE)</f>
        <v>Greg Mitchell</v>
      </c>
      <c r="E407" s="27">
        <v>132.82</v>
      </c>
      <c r="F407" s="23" t="s">
        <v>29</v>
      </c>
      <c r="G407" s="24" t="str">
        <f>VLOOKUP(F407,teams_owners!A:B,2,FALSE)</f>
        <v>Joe Wilko</v>
      </c>
      <c r="H407" s="27">
        <v>110.1</v>
      </c>
    </row>
    <row r="408" spans="1:8" ht="14.25" customHeight="1" x14ac:dyDescent="0.25">
      <c r="A408" s="23" t="s">
        <v>503</v>
      </c>
      <c r="B408" s="23" t="s">
        <v>8</v>
      </c>
      <c r="C408" s="23" t="s">
        <v>506</v>
      </c>
      <c r="D408" s="24" t="str">
        <f>VLOOKUP(C408,teams_owners!A:B,2,FALSE)</f>
        <v>Adam Wilko</v>
      </c>
      <c r="E408" s="27">
        <v>130.28</v>
      </c>
      <c r="F408" s="23" t="s">
        <v>67</v>
      </c>
      <c r="G408" s="24" t="str">
        <f>VLOOKUP(F408,teams_owners!A:B,2,FALSE)</f>
        <v>Rob Connet</v>
      </c>
      <c r="H408" s="27">
        <v>64.599999999999994</v>
      </c>
    </row>
    <row r="409" spans="1:8" ht="14.25" customHeight="1" x14ac:dyDescent="0.25">
      <c r="A409" s="23" t="s">
        <v>503</v>
      </c>
      <c r="B409" s="23" t="s">
        <v>8</v>
      </c>
      <c r="C409" s="23" t="s">
        <v>497</v>
      </c>
      <c r="D409" s="24" t="str">
        <f>VLOOKUP(C409,teams_owners!A:B,2,FALSE)</f>
        <v>Rich Andrew</v>
      </c>
      <c r="E409" s="27">
        <v>172.12</v>
      </c>
      <c r="F409" s="23" t="s">
        <v>50</v>
      </c>
      <c r="G409" s="24" t="str">
        <f>VLOOKUP(F409,teams_owners!A:B,2,FALSE)</f>
        <v>Fiona Kerry</v>
      </c>
      <c r="H409" s="27">
        <v>117.26</v>
      </c>
    </row>
    <row r="410" spans="1:8" ht="14.25" customHeight="1" x14ac:dyDescent="0.25">
      <c r="A410" s="23" t="s">
        <v>503</v>
      </c>
      <c r="B410" s="23" t="s">
        <v>8</v>
      </c>
      <c r="C410" s="23" t="s">
        <v>42</v>
      </c>
      <c r="D410" s="24" t="str">
        <f>VLOOKUP(C410,teams_owners!A:B,2,FALSE)</f>
        <v>Dave Bracegirdle</v>
      </c>
      <c r="E410" s="27">
        <v>157.68</v>
      </c>
      <c r="F410" s="23" t="s">
        <v>83</v>
      </c>
      <c r="G410" s="24" t="str">
        <f>VLOOKUP(F410,teams_owners!A:B,2,FALSE)</f>
        <v>Nathan</v>
      </c>
      <c r="H410" s="27">
        <v>113.4</v>
      </c>
    </row>
    <row r="411" spans="1:8" ht="14.25" customHeight="1" x14ac:dyDescent="0.25">
      <c r="A411" s="23" t="s">
        <v>503</v>
      </c>
      <c r="B411" s="23" t="s">
        <v>6</v>
      </c>
      <c r="C411" s="23" t="s">
        <v>504</v>
      </c>
      <c r="D411" s="24" t="str">
        <f>VLOOKUP(C411,teams_owners!A:B,2,FALSE)</f>
        <v>Rob Taylor</v>
      </c>
      <c r="E411" s="27">
        <v>143.52000000000001</v>
      </c>
      <c r="F411" s="23" t="s">
        <v>29</v>
      </c>
      <c r="G411" s="24" t="str">
        <f>VLOOKUP(F411,teams_owners!A:B,2,FALSE)</f>
        <v>Joe Wilko</v>
      </c>
      <c r="H411" s="27">
        <v>148.5</v>
      </c>
    </row>
    <row r="412" spans="1:8" ht="14.25" customHeight="1" x14ac:dyDescent="0.25">
      <c r="A412" s="23" t="s">
        <v>503</v>
      </c>
      <c r="B412" s="23" t="s">
        <v>6</v>
      </c>
      <c r="C412" s="23" t="s">
        <v>505</v>
      </c>
      <c r="D412" s="24" t="str">
        <f>VLOOKUP(C412,teams_owners!A:B,2,FALSE)</f>
        <v>Greg Mitchell</v>
      </c>
      <c r="E412" s="27">
        <v>98.98</v>
      </c>
      <c r="F412" s="23" t="s">
        <v>78</v>
      </c>
      <c r="G412" s="24" t="str">
        <f>VLOOKUP(F412,teams_owners!A:B,2,FALSE)</f>
        <v>Luc Chignell</v>
      </c>
      <c r="H412" s="27">
        <v>115.16</v>
      </c>
    </row>
    <row r="413" spans="1:8" ht="14.25" customHeight="1" x14ac:dyDescent="0.25">
      <c r="A413" s="23" t="s">
        <v>503</v>
      </c>
      <c r="B413" s="23" t="s">
        <v>6</v>
      </c>
      <c r="C413" s="23" t="s">
        <v>497</v>
      </c>
      <c r="D413" s="24" t="str">
        <f>VLOOKUP(C413,teams_owners!A:B,2,FALSE)</f>
        <v>Rich Andrew</v>
      </c>
      <c r="E413" s="27">
        <v>148.41999999999999</v>
      </c>
      <c r="F413" s="23" t="s">
        <v>67</v>
      </c>
      <c r="G413" s="24" t="str">
        <f>VLOOKUP(F413,teams_owners!A:B,2,FALSE)</f>
        <v>Rob Connet</v>
      </c>
      <c r="H413" s="27">
        <v>103.04</v>
      </c>
    </row>
    <row r="414" spans="1:8" ht="14.25" customHeight="1" x14ac:dyDescent="0.25">
      <c r="A414" s="23" t="s">
        <v>503</v>
      </c>
      <c r="B414" s="23" t="s">
        <v>6</v>
      </c>
      <c r="C414" s="23" t="s">
        <v>506</v>
      </c>
      <c r="D414" s="24" t="str">
        <f>VLOOKUP(C414,teams_owners!A:B,2,FALSE)</f>
        <v>Adam Wilko</v>
      </c>
      <c r="E414" s="27">
        <v>69.3</v>
      </c>
      <c r="F414" s="23" t="s">
        <v>36</v>
      </c>
      <c r="G414" s="24" t="str">
        <f>VLOOKUP(F414,teams_owners!A:B,2,FALSE)</f>
        <v>Dave Bracegirdle</v>
      </c>
      <c r="H414" s="27">
        <v>113.08</v>
      </c>
    </row>
    <row r="415" spans="1:8" ht="14.25" customHeight="1" x14ac:dyDescent="0.25">
      <c r="A415" s="23" t="s">
        <v>503</v>
      </c>
      <c r="B415" s="23" t="s">
        <v>6</v>
      </c>
      <c r="C415" s="23" t="s">
        <v>50</v>
      </c>
      <c r="D415" s="24" t="str">
        <f>VLOOKUP(C415,teams_owners!A:B,2,FALSE)</f>
        <v>Fiona Kerry</v>
      </c>
      <c r="E415" s="27">
        <v>186.36</v>
      </c>
      <c r="F415" s="23" t="s">
        <v>83</v>
      </c>
      <c r="G415" s="24" t="str">
        <f>VLOOKUP(F415,teams_owners!A:B,2,FALSE)</f>
        <v>Nathan</v>
      </c>
      <c r="H415" s="27">
        <v>142.96</v>
      </c>
    </row>
    <row r="416" spans="1:8" ht="14.25" customHeight="1" x14ac:dyDescent="0.25">
      <c r="A416" s="23" t="s">
        <v>503</v>
      </c>
      <c r="B416" s="23" t="s">
        <v>57</v>
      </c>
      <c r="C416" s="23" t="s">
        <v>504</v>
      </c>
      <c r="D416" s="24" t="str">
        <f>VLOOKUP(C416,teams_owners!A:B,2,FALSE)</f>
        <v>Rob Taylor</v>
      </c>
      <c r="E416" s="27">
        <v>115.92</v>
      </c>
      <c r="F416" s="23" t="s">
        <v>505</v>
      </c>
      <c r="G416" s="24" t="str">
        <f>VLOOKUP(F416,teams_owners!A:B,2,FALSE)</f>
        <v>Greg Mitchell</v>
      </c>
      <c r="H416" s="27">
        <v>88.26</v>
      </c>
    </row>
    <row r="417" spans="1:8" ht="14.25" customHeight="1" x14ac:dyDescent="0.25">
      <c r="A417" s="23" t="s">
        <v>503</v>
      </c>
      <c r="B417" s="23" t="s">
        <v>57</v>
      </c>
      <c r="C417" s="23" t="s">
        <v>29</v>
      </c>
      <c r="D417" s="24" t="str">
        <f>VLOOKUP(C417,teams_owners!A:B,2,FALSE)</f>
        <v>Joe Wilko</v>
      </c>
      <c r="E417" s="27">
        <v>104.18</v>
      </c>
      <c r="F417" s="23" t="s">
        <v>78</v>
      </c>
      <c r="G417" s="24" t="str">
        <f>VLOOKUP(F417,teams_owners!A:B,2,FALSE)</f>
        <v>Luc Chignell</v>
      </c>
      <c r="H417" s="27">
        <v>106.18</v>
      </c>
    </row>
    <row r="418" spans="1:8" ht="14.25" customHeight="1" x14ac:dyDescent="0.25">
      <c r="A418" s="23" t="s">
        <v>503</v>
      </c>
      <c r="B418" s="23" t="s">
        <v>57</v>
      </c>
      <c r="C418" s="23" t="s">
        <v>50</v>
      </c>
      <c r="D418" s="24" t="str">
        <f>VLOOKUP(C418,teams_owners!A:B,2,FALSE)</f>
        <v>Fiona Kerry</v>
      </c>
      <c r="E418" s="27">
        <v>124.98</v>
      </c>
      <c r="F418" s="23" t="s">
        <v>67</v>
      </c>
      <c r="G418" s="24" t="str">
        <f>VLOOKUP(F418,teams_owners!A:B,2,FALSE)</f>
        <v>Rob Connet</v>
      </c>
      <c r="H418" s="27">
        <v>105.3</v>
      </c>
    </row>
    <row r="419" spans="1:8" ht="14.25" customHeight="1" x14ac:dyDescent="0.25">
      <c r="A419" s="23" t="s">
        <v>503</v>
      </c>
      <c r="B419" s="23" t="s">
        <v>57</v>
      </c>
      <c r="C419" s="23" t="s">
        <v>506</v>
      </c>
      <c r="D419" s="24" t="str">
        <f>VLOOKUP(C419,teams_owners!A:B,2,FALSE)</f>
        <v>Adam Wilko</v>
      </c>
      <c r="E419" s="27">
        <v>97.64</v>
      </c>
      <c r="F419" s="23" t="s">
        <v>83</v>
      </c>
      <c r="G419" s="24" t="str">
        <f>VLOOKUP(F419,teams_owners!A:B,2,FALSE)</f>
        <v>Nathan</v>
      </c>
      <c r="H419" s="27">
        <v>88.96</v>
      </c>
    </row>
    <row r="420" spans="1:8" ht="14.25" customHeight="1" x14ac:dyDescent="0.25">
      <c r="A420" s="23" t="s">
        <v>503</v>
      </c>
      <c r="B420" s="23" t="s">
        <v>57</v>
      </c>
      <c r="C420" s="23" t="s">
        <v>497</v>
      </c>
      <c r="D420" s="24" t="str">
        <f>VLOOKUP(C420,teams_owners!A:B,2,FALSE)</f>
        <v>Rich Andrew</v>
      </c>
      <c r="E420" s="27">
        <v>123.9</v>
      </c>
      <c r="F420" s="23" t="s">
        <v>36</v>
      </c>
      <c r="G420" s="24" t="str">
        <f>VLOOKUP(F420,teams_owners!A:B,2,FALSE)</f>
        <v>Dave Bracegirdle</v>
      </c>
      <c r="H420" s="27">
        <v>123.7</v>
      </c>
    </row>
    <row r="421" spans="1:8" ht="14.25" customHeight="1" x14ac:dyDescent="0.25">
      <c r="A421" s="23" t="s">
        <v>503</v>
      </c>
      <c r="B421" s="23" t="s">
        <v>41</v>
      </c>
      <c r="C421" s="23" t="s">
        <v>504</v>
      </c>
      <c r="D421" s="24" t="str">
        <f>VLOOKUP(C421,teams_owners!A:B,2,FALSE)</f>
        <v>Rob Taylor</v>
      </c>
      <c r="E421" s="27">
        <v>148.36000000000001</v>
      </c>
      <c r="F421" s="23" t="s">
        <v>83</v>
      </c>
      <c r="G421" s="24" t="str">
        <f>VLOOKUP(F421,teams_owners!A:B,2,FALSE)</f>
        <v>Nathan</v>
      </c>
      <c r="H421" s="27">
        <v>152.88</v>
      </c>
    </row>
    <row r="422" spans="1:8" ht="14.25" customHeight="1" x14ac:dyDescent="0.25">
      <c r="A422" s="23" t="s">
        <v>503</v>
      </c>
      <c r="B422" s="23" t="s">
        <v>41</v>
      </c>
      <c r="C422" s="23" t="s">
        <v>67</v>
      </c>
      <c r="D422" s="24" t="str">
        <f>VLOOKUP(C422,teams_owners!A:B,2,FALSE)</f>
        <v>Rob Connet</v>
      </c>
      <c r="E422" s="27">
        <v>109.14</v>
      </c>
      <c r="F422" s="23" t="s">
        <v>505</v>
      </c>
      <c r="G422" s="24" t="str">
        <f>VLOOKUP(F422,teams_owners!A:B,2,FALSE)</f>
        <v>Greg Mitchell</v>
      </c>
      <c r="H422" s="27">
        <v>111.28</v>
      </c>
    </row>
    <row r="423" spans="1:8" ht="14.25" customHeight="1" x14ac:dyDescent="0.25">
      <c r="A423" s="23" t="s">
        <v>503</v>
      </c>
      <c r="B423" s="23" t="s">
        <v>41</v>
      </c>
      <c r="C423" s="23" t="s">
        <v>506</v>
      </c>
      <c r="D423" s="24" t="str">
        <f>VLOOKUP(C423,teams_owners!A:B,2,FALSE)</f>
        <v>Adam Wilko</v>
      </c>
      <c r="E423" s="27">
        <v>97.32</v>
      </c>
      <c r="F423" s="23" t="s">
        <v>29</v>
      </c>
      <c r="G423" s="24" t="str">
        <f>VLOOKUP(F423,teams_owners!A:B,2,FALSE)</f>
        <v>Joe Wilko</v>
      </c>
      <c r="H423" s="27">
        <v>154.86000000000001</v>
      </c>
    </row>
    <row r="424" spans="1:8" ht="14.25" customHeight="1" x14ac:dyDescent="0.25">
      <c r="A424" s="23" t="s">
        <v>503</v>
      </c>
      <c r="B424" s="23" t="s">
        <v>41</v>
      </c>
      <c r="C424" s="23" t="s">
        <v>497</v>
      </c>
      <c r="D424" s="24" t="str">
        <f>VLOOKUP(C424,teams_owners!A:B,2,FALSE)</f>
        <v>Rich Andrew</v>
      </c>
      <c r="E424" s="27">
        <v>77.760000000000005</v>
      </c>
      <c r="F424" s="23" t="s">
        <v>78</v>
      </c>
      <c r="G424" s="24" t="str">
        <f>VLOOKUP(F424,teams_owners!A:B,2,FALSE)</f>
        <v>Luc Chignell</v>
      </c>
      <c r="H424" s="27">
        <v>116.38</v>
      </c>
    </row>
    <row r="425" spans="1:8" ht="14.25" customHeight="1" x14ac:dyDescent="0.25">
      <c r="A425" s="23" t="s">
        <v>503</v>
      </c>
      <c r="B425" s="23" t="s">
        <v>41</v>
      </c>
      <c r="C425" s="23" t="s">
        <v>50</v>
      </c>
      <c r="D425" s="24" t="str">
        <f>VLOOKUP(C425,teams_owners!A:B,2,FALSE)</f>
        <v>Fiona Kerry</v>
      </c>
      <c r="E425" s="27">
        <v>160.5</v>
      </c>
      <c r="F425" s="23" t="s">
        <v>36</v>
      </c>
      <c r="G425" s="24" t="str">
        <f>VLOOKUP(F425,teams_owners!A:B,2,FALSE)</f>
        <v>Dave Bracegirdle</v>
      </c>
      <c r="H425" s="27">
        <v>108.72</v>
      </c>
    </row>
    <row r="426" spans="1:8" ht="14.25" customHeight="1" x14ac:dyDescent="0.25">
      <c r="A426" s="23" t="s">
        <v>503</v>
      </c>
      <c r="B426" s="23" t="s">
        <v>27</v>
      </c>
      <c r="C426" s="23" t="s">
        <v>504</v>
      </c>
      <c r="D426" s="24" t="str">
        <f>VLOOKUP(C426,teams_owners!A:B,2,FALSE)</f>
        <v>Rob Taylor</v>
      </c>
      <c r="E426" s="27">
        <v>91.76</v>
      </c>
      <c r="F426" s="23" t="s">
        <v>36</v>
      </c>
      <c r="G426" s="24" t="str">
        <f>VLOOKUP(F426,teams_owners!A:B,2,FALSE)</f>
        <v>Dave Bracegirdle</v>
      </c>
      <c r="H426" s="27">
        <v>117.76</v>
      </c>
    </row>
    <row r="427" spans="1:8" ht="14.25" customHeight="1" x14ac:dyDescent="0.25">
      <c r="A427" s="23" t="s">
        <v>503</v>
      </c>
      <c r="B427" s="23" t="s">
        <v>27</v>
      </c>
      <c r="C427" s="23" t="s">
        <v>506</v>
      </c>
      <c r="D427" s="24" t="str">
        <f>VLOOKUP(C427,teams_owners!A:B,2,FALSE)</f>
        <v>Adam Wilko</v>
      </c>
      <c r="E427" s="27">
        <v>146.54</v>
      </c>
      <c r="F427" s="23" t="s">
        <v>505</v>
      </c>
      <c r="G427" s="24" t="str">
        <f>VLOOKUP(F427,teams_owners!A:B,2,FALSE)</f>
        <v>Greg Mitchell</v>
      </c>
      <c r="H427" s="27">
        <v>145.62</v>
      </c>
    </row>
    <row r="428" spans="1:8" ht="14.25" customHeight="1" x14ac:dyDescent="0.25">
      <c r="A428" s="23" t="s">
        <v>503</v>
      </c>
      <c r="B428" s="23" t="s">
        <v>27</v>
      </c>
      <c r="C428" s="23" t="s">
        <v>67</v>
      </c>
      <c r="D428" s="24" t="str">
        <f>VLOOKUP(C428,teams_owners!A:B,2,FALSE)</f>
        <v>Rob Connet</v>
      </c>
      <c r="E428" s="27">
        <v>129.04</v>
      </c>
      <c r="F428" s="23" t="s">
        <v>29</v>
      </c>
      <c r="G428" s="24" t="str">
        <f>VLOOKUP(F428,teams_owners!A:B,2,FALSE)</f>
        <v>Joe Wilko</v>
      </c>
      <c r="H428" s="27">
        <v>136.38</v>
      </c>
    </row>
    <row r="429" spans="1:8" ht="14.25" customHeight="1" x14ac:dyDescent="0.25">
      <c r="A429" s="23" t="s">
        <v>503</v>
      </c>
      <c r="B429" s="23" t="s">
        <v>27</v>
      </c>
      <c r="C429" s="23" t="s">
        <v>50</v>
      </c>
      <c r="D429" s="24" t="str">
        <f>VLOOKUP(C429,teams_owners!A:B,2,FALSE)</f>
        <v>Fiona Kerry</v>
      </c>
      <c r="E429" s="27">
        <v>96.72</v>
      </c>
      <c r="F429" s="23" t="s">
        <v>78</v>
      </c>
      <c r="G429" s="24" t="str">
        <f>VLOOKUP(F429,teams_owners!A:B,2,FALSE)</f>
        <v>Luc Chignell</v>
      </c>
      <c r="H429" s="27">
        <v>120.28</v>
      </c>
    </row>
    <row r="430" spans="1:8" ht="14.25" customHeight="1" x14ac:dyDescent="0.25">
      <c r="A430" s="23" t="s">
        <v>503</v>
      </c>
      <c r="B430" s="23" t="s">
        <v>27</v>
      </c>
      <c r="C430" s="23" t="s">
        <v>497</v>
      </c>
      <c r="D430" s="24" t="str">
        <f>VLOOKUP(C430,teams_owners!A:B,2,FALSE)</f>
        <v>Rich Andrew</v>
      </c>
      <c r="E430" s="27">
        <v>92.16</v>
      </c>
      <c r="F430" s="23" t="s">
        <v>83</v>
      </c>
      <c r="G430" s="24" t="str">
        <f>VLOOKUP(F430,teams_owners!A:B,2,FALSE)</f>
        <v>Nathan</v>
      </c>
      <c r="H430" s="27">
        <v>113.26</v>
      </c>
    </row>
    <row r="431" spans="1:8" ht="14.25" customHeight="1" x14ac:dyDescent="0.25">
      <c r="A431" s="23" t="s">
        <v>503</v>
      </c>
      <c r="B431" s="23" t="s">
        <v>46</v>
      </c>
      <c r="C431" s="23" t="s">
        <v>504</v>
      </c>
      <c r="D431" s="24" t="str">
        <f>VLOOKUP(C431,teams_owners!A:B,2,FALSE)</f>
        <v>Rob Taylor</v>
      </c>
      <c r="E431" s="27">
        <v>103</v>
      </c>
      <c r="F431" s="23" t="s">
        <v>506</v>
      </c>
      <c r="G431" s="24" t="str">
        <f>VLOOKUP(F431,teams_owners!A:B,2,FALSE)</f>
        <v>Adam Wilko</v>
      </c>
      <c r="H431" s="27">
        <v>125.92</v>
      </c>
    </row>
    <row r="432" spans="1:8" ht="14.25" customHeight="1" x14ac:dyDescent="0.25">
      <c r="A432" s="23" t="s">
        <v>503</v>
      </c>
      <c r="B432" s="23" t="s">
        <v>46</v>
      </c>
      <c r="C432" s="23" t="s">
        <v>497</v>
      </c>
      <c r="D432" s="24" t="str">
        <f>VLOOKUP(C432,teams_owners!A:B,2,FALSE)</f>
        <v>Rich Andrew</v>
      </c>
      <c r="E432" s="27">
        <v>119.2</v>
      </c>
      <c r="F432" s="23" t="s">
        <v>505</v>
      </c>
      <c r="G432" s="24" t="str">
        <f>VLOOKUP(F432,teams_owners!A:B,2,FALSE)</f>
        <v>Greg Mitchell</v>
      </c>
      <c r="H432" s="27">
        <v>74.28</v>
      </c>
    </row>
    <row r="433" spans="1:8" ht="14.25" customHeight="1" x14ac:dyDescent="0.25">
      <c r="A433" s="23" t="s">
        <v>503</v>
      </c>
      <c r="B433" s="23" t="s">
        <v>46</v>
      </c>
      <c r="C433" s="23" t="s">
        <v>50</v>
      </c>
      <c r="D433" s="24" t="str">
        <f>VLOOKUP(C433,teams_owners!A:B,2,FALSE)</f>
        <v>Fiona Kerry</v>
      </c>
      <c r="E433" s="27">
        <v>113.08</v>
      </c>
      <c r="F433" s="23" t="s">
        <v>29</v>
      </c>
      <c r="G433" s="24" t="str">
        <f>VLOOKUP(F433,teams_owners!A:B,2,FALSE)</f>
        <v>Joe Wilko</v>
      </c>
      <c r="H433" s="27">
        <v>74.319999999999993</v>
      </c>
    </row>
    <row r="434" spans="1:8" ht="14.25" customHeight="1" x14ac:dyDescent="0.25">
      <c r="A434" s="23" t="s">
        <v>503</v>
      </c>
      <c r="B434" s="23" t="s">
        <v>46</v>
      </c>
      <c r="C434" s="23" t="s">
        <v>42</v>
      </c>
      <c r="D434" s="24" t="str">
        <f>VLOOKUP(C434,teams_owners!A:B,2,FALSE)</f>
        <v>Dave Bracegirdle</v>
      </c>
      <c r="E434" s="27">
        <v>108.76</v>
      </c>
      <c r="F434" s="23" t="s">
        <v>78</v>
      </c>
      <c r="G434" s="24" t="str">
        <f>VLOOKUP(F434,teams_owners!A:B,2,FALSE)</f>
        <v>Luc Chignell</v>
      </c>
      <c r="H434" s="27">
        <v>109.6</v>
      </c>
    </row>
    <row r="435" spans="1:8" ht="14.25" customHeight="1" x14ac:dyDescent="0.25">
      <c r="A435" s="23" t="s">
        <v>503</v>
      </c>
      <c r="B435" s="23" t="s">
        <v>46</v>
      </c>
      <c r="C435" s="23" t="s">
        <v>67</v>
      </c>
      <c r="D435" s="24" t="str">
        <f>VLOOKUP(C435,teams_owners!A:B,2,FALSE)</f>
        <v>Rob Connet</v>
      </c>
      <c r="E435" s="27">
        <v>105.44</v>
      </c>
      <c r="F435" s="23" t="s">
        <v>83</v>
      </c>
      <c r="G435" s="24" t="str">
        <f>VLOOKUP(F435,teams_owners!A:B,2,FALSE)</f>
        <v>Nathan</v>
      </c>
      <c r="H435" s="27">
        <v>125.36</v>
      </c>
    </row>
    <row r="436" spans="1:8" ht="14.25" customHeight="1" x14ac:dyDescent="0.25">
      <c r="A436" s="23" t="s">
        <v>503</v>
      </c>
      <c r="B436" s="23" t="s">
        <v>54</v>
      </c>
      <c r="C436" s="23" t="s">
        <v>504</v>
      </c>
      <c r="D436" s="24" t="str">
        <f>VLOOKUP(C436,teams_owners!A:B,2,FALSE)</f>
        <v>Rob Taylor</v>
      </c>
      <c r="E436" s="27">
        <v>96.3</v>
      </c>
      <c r="F436" s="23" t="s">
        <v>67</v>
      </c>
      <c r="G436" s="24" t="str">
        <f>VLOOKUP(F436,teams_owners!A:B,2,FALSE)</f>
        <v>Rob Connet</v>
      </c>
      <c r="H436" s="27">
        <v>113.86</v>
      </c>
    </row>
    <row r="437" spans="1:8" ht="14.25" customHeight="1" x14ac:dyDescent="0.25">
      <c r="A437" s="23" t="s">
        <v>503</v>
      </c>
      <c r="B437" s="23" t="s">
        <v>54</v>
      </c>
      <c r="C437" s="23" t="s">
        <v>50</v>
      </c>
      <c r="D437" s="24" t="str">
        <f>VLOOKUP(C437,teams_owners!A:B,2,FALSE)</f>
        <v>Fiona Kerry</v>
      </c>
      <c r="E437" s="27">
        <v>105.12</v>
      </c>
      <c r="F437" s="23" t="s">
        <v>505</v>
      </c>
      <c r="G437" s="24" t="str">
        <f>VLOOKUP(F437,teams_owners!A:B,2,FALSE)</f>
        <v>Greg Mitchell</v>
      </c>
      <c r="H437" s="27">
        <v>130.16</v>
      </c>
    </row>
    <row r="438" spans="1:8" ht="14.25" customHeight="1" x14ac:dyDescent="0.25">
      <c r="A438" s="23" t="s">
        <v>503</v>
      </c>
      <c r="B438" s="23" t="s">
        <v>54</v>
      </c>
      <c r="C438" s="23" t="s">
        <v>29</v>
      </c>
      <c r="D438" s="24" t="str">
        <f>VLOOKUP(C438,teams_owners!A:B,2,FALSE)</f>
        <v>Joe Wilko</v>
      </c>
      <c r="E438" s="27">
        <v>138.02000000000001</v>
      </c>
      <c r="F438" s="23" t="s">
        <v>36</v>
      </c>
      <c r="G438" s="24" t="str">
        <f>VLOOKUP(F438,teams_owners!A:B,2,FALSE)</f>
        <v>Dave Bracegirdle</v>
      </c>
      <c r="H438" s="27">
        <v>106.64</v>
      </c>
    </row>
    <row r="439" spans="1:8" ht="14.25" customHeight="1" x14ac:dyDescent="0.25">
      <c r="A439" s="23" t="s">
        <v>503</v>
      </c>
      <c r="B439" s="23" t="s">
        <v>54</v>
      </c>
      <c r="C439" s="23" t="s">
        <v>78</v>
      </c>
      <c r="D439" s="24" t="str">
        <f>VLOOKUP(C439,teams_owners!A:B,2,FALSE)</f>
        <v>Luc Chignell</v>
      </c>
      <c r="E439" s="27">
        <v>136.54</v>
      </c>
      <c r="F439" s="23" t="s">
        <v>83</v>
      </c>
      <c r="G439" s="24" t="str">
        <f>VLOOKUP(F439,teams_owners!A:B,2,FALSE)</f>
        <v>Nathan</v>
      </c>
      <c r="H439" s="27">
        <v>102.98</v>
      </c>
    </row>
    <row r="440" spans="1:8" ht="14.25" customHeight="1" x14ac:dyDescent="0.25">
      <c r="A440" s="23" t="s">
        <v>503</v>
      </c>
      <c r="B440" s="23" t="s">
        <v>54</v>
      </c>
      <c r="C440" s="23" t="s">
        <v>497</v>
      </c>
      <c r="D440" s="24" t="str">
        <f>VLOOKUP(C440,teams_owners!A:B,2,FALSE)</f>
        <v>Rich Andrew</v>
      </c>
      <c r="E440" s="27">
        <v>103.46</v>
      </c>
      <c r="F440" s="23" t="s">
        <v>506</v>
      </c>
      <c r="G440" s="24" t="str">
        <f>VLOOKUP(F440,teams_owners!A:B,2,FALSE)</f>
        <v>Adam Wilko</v>
      </c>
      <c r="H440" s="27">
        <v>93.4</v>
      </c>
    </row>
    <row r="441" spans="1:8" ht="14.25" customHeight="1" x14ac:dyDescent="0.25">
      <c r="A441" s="23" t="s">
        <v>503</v>
      </c>
      <c r="B441" s="23" t="s">
        <v>55</v>
      </c>
      <c r="C441" s="23" t="s">
        <v>504</v>
      </c>
      <c r="D441" s="24" t="str">
        <f>VLOOKUP(C441,teams_owners!A:B,2,FALSE)</f>
        <v>Rob Taylor</v>
      </c>
      <c r="E441" s="27">
        <v>120.13</v>
      </c>
      <c r="F441" s="23" t="s">
        <v>497</v>
      </c>
      <c r="G441" s="24" t="str">
        <f>VLOOKUP(F441,teams_owners!A:B,2,FALSE)</f>
        <v>Rich Andrew</v>
      </c>
      <c r="H441" s="27">
        <v>172.6</v>
      </c>
    </row>
    <row r="442" spans="1:8" ht="14.25" customHeight="1" x14ac:dyDescent="0.25">
      <c r="A442" s="23" t="s">
        <v>503</v>
      </c>
      <c r="B442" s="23" t="s">
        <v>55</v>
      </c>
      <c r="C442" s="23" t="s">
        <v>505</v>
      </c>
      <c r="D442" s="24" t="str">
        <f>VLOOKUP(C442,teams_owners!A:B,2,FALSE)</f>
        <v>Greg Mitchell</v>
      </c>
      <c r="E442" s="27">
        <v>154.34</v>
      </c>
      <c r="F442" s="23" t="s">
        <v>36</v>
      </c>
      <c r="G442" s="24" t="str">
        <f>VLOOKUP(F442,teams_owners!A:B,2,FALSE)</f>
        <v>Dave Bracegirdle</v>
      </c>
      <c r="H442" s="27">
        <v>109.12</v>
      </c>
    </row>
    <row r="443" spans="1:8" ht="14.25" customHeight="1" x14ac:dyDescent="0.25">
      <c r="A443" s="23" t="s">
        <v>503</v>
      </c>
      <c r="B443" s="23" t="s">
        <v>55</v>
      </c>
      <c r="C443" s="23" t="s">
        <v>29</v>
      </c>
      <c r="D443" s="24" t="str">
        <f>VLOOKUP(C443,teams_owners!A:B,2,FALSE)</f>
        <v>Joe Wilko</v>
      </c>
      <c r="E443" s="27">
        <v>68.239999999999995</v>
      </c>
      <c r="F443" s="23" t="s">
        <v>83</v>
      </c>
      <c r="G443" s="24" t="str">
        <f>VLOOKUP(F443,teams_owners!A:B,2,FALSE)</f>
        <v>Nathan</v>
      </c>
      <c r="H443" s="27">
        <v>184.36</v>
      </c>
    </row>
    <row r="444" spans="1:8" ht="14.25" customHeight="1" x14ac:dyDescent="0.25">
      <c r="A444" s="23" t="s">
        <v>503</v>
      </c>
      <c r="B444" s="23" t="s">
        <v>55</v>
      </c>
      <c r="C444" s="23" t="s">
        <v>67</v>
      </c>
      <c r="D444" s="24" t="str">
        <f>VLOOKUP(C444,teams_owners!A:B,2,FALSE)</f>
        <v>Rob Connet</v>
      </c>
      <c r="E444" s="27">
        <v>127.08</v>
      </c>
      <c r="F444" s="23" t="s">
        <v>78</v>
      </c>
      <c r="G444" s="24" t="str">
        <f>VLOOKUP(F444,teams_owners!A:B,2,FALSE)</f>
        <v>Luc Chignell</v>
      </c>
      <c r="H444" s="27">
        <v>153.28</v>
      </c>
    </row>
    <row r="445" spans="1:8" ht="14.25" customHeight="1" x14ac:dyDescent="0.25">
      <c r="A445" s="23" t="s">
        <v>503</v>
      </c>
      <c r="B445" s="23" t="s">
        <v>55</v>
      </c>
      <c r="C445" s="23" t="s">
        <v>50</v>
      </c>
      <c r="D445" s="24" t="str">
        <f>VLOOKUP(C445,teams_owners!A:B,2,FALSE)</f>
        <v>Fiona Kerry</v>
      </c>
      <c r="E445" s="27">
        <v>118.98</v>
      </c>
      <c r="F445" s="23" t="s">
        <v>506</v>
      </c>
      <c r="G445" s="24" t="str">
        <f>VLOOKUP(F445,teams_owners!A:B,2,FALSE)</f>
        <v>Adam Wilko</v>
      </c>
      <c r="H445" s="27">
        <v>122.2</v>
      </c>
    </row>
    <row r="446" spans="1:8" ht="14.25" customHeight="1" x14ac:dyDescent="0.25">
      <c r="A446" s="23" t="s">
        <v>503</v>
      </c>
      <c r="B446" s="23" t="s">
        <v>77</v>
      </c>
      <c r="C446" s="23" t="s">
        <v>504</v>
      </c>
      <c r="D446" s="24" t="str">
        <f>VLOOKUP(C446,teams_owners!A:B,2,FALSE)</f>
        <v>Rob Taylor</v>
      </c>
      <c r="E446" s="27">
        <v>123.22</v>
      </c>
      <c r="F446" s="23" t="s">
        <v>50</v>
      </c>
      <c r="G446" s="24" t="str">
        <f>VLOOKUP(F446,teams_owners!A:B,2,FALSE)</f>
        <v>Fiona Kerry</v>
      </c>
      <c r="H446" s="27">
        <v>111</v>
      </c>
    </row>
    <row r="447" spans="1:8" ht="14.25" customHeight="1" x14ac:dyDescent="0.25">
      <c r="A447" s="23" t="s">
        <v>503</v>
      </c>
      <c r="B447" s="23" t="s">
        <v>77</v>
      </c>
      <c r="C447" s="23" t="s">
        <v>505</v>
      </c>
      <c r="D447" s="24" t="str">
        <f>VLOOKUP(C447,teams_owners!A:B,2,FALSE)</f>
        <v>Greg Mitchell</v>
      </c>
      <c r="E447" s="27">
        <v>122.2</v>
      </c>
      <c r="F447" s="23" t="s">
        <v>83</v>
      </c>
      <c r="G447" s="24" t="str">
        <f>VLOOKUP(F447,teams_owners!A:B,2,FALSE)</f>
        <v>Nathan</v>
      </c>
      <c r="H447" s="27">
        <v>134.32</v>
      </c>
    </row>
    <row r="448" spans="1:8" ht="14.25" customHeight="1" x14ac:dyDescent="0.25">
      <c r="A448" s="23" t="s">
        <v>503</v>
      </c>
      <c r="B448" s="23" t="s">
        <v>77</v>
      </c>
      <c r="C448" s="23" t="s">
        <v>497</v>
      </c>
      <c r="D448" s="24" t="str">
        <f>VLOOKUP(C448,teams_owners!A:B,2,FALSE)</f>
        <v>Rich Andrew</v>
      </c>
      <c r="E448" s="27">
        <v>92.52</v>
      </c>
      <c r="F448" s="23" t="s">
        <v>29</v>
      </c>
      <c r="G448" s="24" t="str">
        <f>VLOOKUP(F448,teams_owners!A:B,2,FALSE)</f>
        <v>Joe Wilko</v>
      </c>
      <c r="H448" s="27">
        <v>122.34</v>
      </c>
    </row>
    <row r="449" spans="1:8" ht="14.25" customHeight="1" x14ac:dyDescent="0.25">
      <c r="A449" s="23" t="s">
        <v>503</v>
      </c>
      <c r="B449" s="23" t="s">
        <v>77</v>
      </c>
      <c r="C449" s="23" t="s">
        <v>506</v>
      </c>
      <c r="D449" s="24" t="str">
        <f>VLOOKUP(C449,teams_owners!A:B,2,FALSE)</f>
        <v>Adam Wilko</v>
      </c>
      <c r="E449" s="27">
        <v>120.9</v>
      </c>
      <c r="F449" s="23" t="s">
        <v>78</v>
      </c>
      <c r="G449" s="24" t="str">
        <f>VLOOKUP(F449,teams_owners!A:B,2,FALSE)</f>
        <v>Luc Chignell</v>
      </c>
      <c r="H449" s="27">
        <v>111.34</v>
      </c>
    </row>
    <row r="450" spans="1:8" ht="14.25" customHeight="1" x14ac:dyDescent="0.25">
      <c r="A450" s="23" t="s">
        <v>503</v>
      </c>
      <c r="B450" s="23" t="s">
        <v>77</v>
      </c>
      <c r="C450" s="23" t="s">
        <v>67</v>
      </c>
      <c r="D450" s="24" t="str">
        <f>VLOOKUP(C450,teams_owners!A:B,2,FALSE)</f>
        <v>Rob Connet</v>
      </c>
      <c r="E450" s="27">
        <v>133.74</v>
      </c>
      <c r="F450" s="23" t="s">
        <v>36</v>
      </c>
      <c r="G450" s="24" t="str">
        <f>VLOOKUP(F450,teams_owners!A:B,2,FALSE)</f>
        <v>Dave Bracegirdle</v>
      </c>
      <c r="H450" s="27">
        <v>122.9</v>
      </c>
    </row>
    <row r="451" spans="1:8" ht="14.25" customHeight="1" x14ac:dyDescent="0.25">
      <c r="A451" s="23" t="s">
        <v>503</v>
      </c>
      <c r="B451" s="23" t="s">
        <v>84</v>
      </c>
      <c r="C451" s="23" t="s">
        <v>504</v>
      </c>
      <c r="D451" s="24" t="str">
        <f>VLOOKUP(C451,teams_owners!A:B,2,FALSE)</f>
        <v>Rob Taylor</v>
      </c>
      <c r="E451" s="27">
        <v>84.44</v>
      </c>
      <c r="F451" s="23" t="s">
        <v>78</v>
      </c>
      <c r="G451" s="24" t="str">
        <f>VLOOKUP(F451,teams_owners!A:B,2,FALSE)</f>
        <v>Luc Chignell</v>
      </c>
      <c r="H451" s="27">
        <v>76.48</v>
      </c>
    </row>
    <row r="452" spans="1:8" ht="14.25" customHeight="1" x14ac:dyDescent="0.25">
      <c r="A452" s="23" t="s">
        <v>503</v>
      </c>
      <c r="B452" s="23" t="s">
        <v>84</v>
      </c>
      <c r="C452" s="23" t="s">
        <v>505</v>
      </c>
      <c r="D452" s="24" t="str">
        <f>VLOOKUP(C452,teams_owners!A:B,2,FALSE)</f>
        <v>Greg Mitchell</v>
      </c>
      <c r="E452" s="27">
        <v>128.19999999999999</v>
      </c>
      <c r="F452" s="23" t="s">
        <v>29</v>
      </c>
      <c r="G452" s="24" t="str">
        <f>VLOOKUP(F452,teams_owners!A:B,2,FALSE)</f>
        <v>Joe Wilko</v>
      </c>
      <c r="H452" s="27">
        <v>119.24</v>
      </c>
    </row>
    <row r="453" spans="1:8" ht="14.25" customHeight="1" x14ac:dyDescent="0.25">
      <c r="A453" s="23" t="s">
        <v>503</v>
      </c>
      <c r="B453" s="23" t="s">
        <v>84</v>
      </c>
      <c r="C453" s="23" t="s">
        <v>506</v>
      </c>
      <c r="D453" s="24" t="str">
        <f>VLOOKUP(C453,teams_owners!A:B,2,FALSE)</f>
        <v>Adam Wilko</v>
      </c>
      <c r="E453" s="27">
        <v>125.62</v>
      </c>
      <c r="F453" s="23" t="s">
        <v>67</v>
      </c>
      <c r="G453" s="24" t="str">
        <f>VLOOKUP(F453,teams_owners!A:B,2,FALSE)</f>
        <v>Rob Connet</v>
      </c>
      <c r="H453" s="27">
        <v>123.56</v>
      </c>
    </row>
    <row r="454" spans="1:8" ht="14.25" customHeight="1" x14ac:dyDescent="0.25">
      <c r="A454" s="23" t="s">
        <v>503</v>
      </c>
      <c r="B454" s="23" t="s">
        <v>84</v>
      </c>
      <c r="C454" s="23" t="s">
        <v>497</v>
      </c>
      <c r="D454" s="24" t="str">
        <f>VLOOKUP(C454,teams_owners!A:B,2,FALSE)</f>
        <v>Rich Andrew</v>
      </c>
      <c r="E454" s="27">
        <v>111.1</v>
      </c>
      <c r="F454" s="23" t="s">
        <v>50</v>
      </c>
      <c r="G454" s="24" t="str">
        <f>VLOOKUP(F454,teams_owners!A:B,2,FALSE)</f>
        <v>Fiona Kerry</v>
      </c>
      <c r="H454" s="27">
        <v>113.1</v>
      </c>
    </row>
    <row r="455" spans="1:8" ht="14.25" customHeight="1" x14ac:dyDescent="0.25">
      <c r="A455" s="23" t="s">
        <v>503</v>
      </c>
      <c r="B455" s="23" t="s">
        <v>84</v>
      </c>
      <c r="C455" s="23" t="s">
        <v>42</v>
      </c>
      <c r="D455" s="24" t="str">
        <f>VLOOKUP(C455,teams_owners!A:B,2,FALSE)</f>
        <v>Dave Bracegirdle</v>
      </c>
      <c r="E455" s="27">
        <v>110.9</v>
      </c>
      <c r="F455" s="23" t="s">
        <v>83</v>
      </c>
      <c r="G455" s="24" t="str">
        <f>VLOOKUP(F455,teams_owners!A:B,2,FALSE)</f>
        <v>Nathan</v>
      </c>
      <c r="H455" s="27">
        <v>115.58</v>
      </c>
    </row>
    <row r="456" spans="1:8" ht="14.25" customHeight="1" x14ac:dyDescent="0.25">
      <c r="A456" s="23" t="s">
        <v>503</v>
      </c>
      <c r="B456" s="23" t="s">
        <v>39</v>
      </c>
      <c r="C456" s="23" t="s">
        <v>504</v>
      </c>
      <c r="D456" s="24" t="str">
        <f>VLOOKUP(C456,teams_owners!A:B,2,FALSE)</f>
        <v>Rob Taylor</v>
      </c>
      <c r="E456" s="27">
        <v>87.28</v>
      </c>
      <c r="F456" s="23" t="s">
        <v>29</v>
      </c>
      <c r="G456" s="24" t="str">
        <f>VLOOKUP(F456,teams_owners!A:B,2,FALSE)</f>
        <v>Joe Wilko</v>
      </c>
      <c r="H456" s="27">
        <v>135.56100000000001</v>
      </c>
    </row>
    <row r="457" spans="1:8" ht="14.25" customHeight="1" x14ac:dyDescent="0.25">
      <c r="A457" s="23" t="s">
        <v>503</v>
      </c>
      <c r="B457" s="23" t="s">
        <v>39</v>
      </c>
      <c r="C457" s="23" t="s">
        <v>505</v>
      </c>
      <c r="D457" s="24" t="str">
        <f>VLOOKUP(C457,teams_owners!A:B,2,FALSE)</f>
        <v>Greg Mitchell</v>
      </c>
      <c r="E457" s="27">
        <v>106.62</v>
      </c>
      <c r="F457" s="23" t="s">
        <v>78</v>
      </c>
      <c r="G457" s="24" t="str">
        <f>VLOOKUP(F457,teams_owners!A:B,2,FALSE)</f>
        <v>Luc Chignell</v>
      </c>
      <c r="H457" s="27">
        <v>161.66</v>
      </c>
    </row>
    <row r="458" spans="1:8" ht="14.25" customHeight="1" x14ac:dyDescent="0.25">
      <c r="A458" s="23" t="s">
        <v>503</v>
      </c>
      <c r="B458" s="23" t="s">
        <v>39</v>
      </c>
      <c r="C458" s="23" t="s">
        <v>497</v>
      </c>
      <c r="D458" s="24" t="str">
        <f>VLOOKUP(C458,teams_owners!A:B,2,FALSE)</f>
        <v>Rich Andrew</v>
      </c>
      <c r="E458" s="27">
        <v>116.4</v>
      </c>
      <c r="F458" s="23" t="s">
        <v>67</v>
      </c>
      <c r="G458" s="24" t="str">
        <f>VLOOKUP(F458,teams_owners!A:B,2,FALSE)</f>
        <v>Rob Connet</v>
      </c>
      <c r="H458" s="27">
        <v>86.58</v>
      </c>
    </row>
    <row r="459" spans="1:8" ht="14.25" customHeight="1" x14ac:dyDescent="0.25">
      <c r="A459" s="23" t="s">
        <v>503</v>
      </c>
      <c r="B459" s="23" t="s">
        <v>39</v>
      </c>
      <c r="C459" s="23" t="s">
        <v>506</v>
      </c>
      <c r="D459" s="24" t="str">
        <f>VLOOKUP(C459,teams_owners!A:B,2,FALSE)</f>
        <v>Adam Wilko</v>
      </c>
      <c r="E459" s="27">
        <v>145.18</v>
      </c>
      <c r="F459" s="23" t="s">
        <v>36</v>
      </c>
      <c r="G459" s="24" t="str">
        <f>VLOOKUP(F459,teams_owners!A:B,2,FALSE)</f>
        <v>Dave Bracegirdle</v>
      </c>
      <c r="H459" s="27">
        <v>95.48</v>
      </c>
    </row>
    <row r="460" spans="1:8" ht="14.25" customHeight="1" x14ac:dyDescent="0.25">
      <c r="A460" s="23" t="s">
        <v>503</v>
      </c>
      <c r="B460" s="23" t="s">
        <v>39</v>
      </c>
      <c r="C460" s="23" t="s">
        <v>50</v>
      </c>
      <c r="D460" s="24" t="str">
        <f>VLOOKUP(C460,teams_owners!A:B,2,FALSE)</f>
        <v>Fiona Kerry</v>
      </c>
      <c r="E460" s="27">
        <v>114.4</v>
      </c>
      <c r="F460" s="23" t="s">
        <v>83</v>
      </c>
      <c r="G460" s="24" t="str">
        <f>VLOOKUP(F460,teams_owners!A:B,2,FALSE)</f>
        <v>Nathan</v>
      </c>
      <c r="H460" s="27">
        <v>103.42</v>
      </c>
    </row>
    <row r="461" spans="1:8" ht="14.25" customHeight="1" x14ac:dyDescent="0.25">
      <c r="A461" s="23" t="s">
        <v>503</v>
      </c>
      <c r="B461" s="23" t="s">
        <v>62</v>
      </c>
      <c r="C461" s="23" t="s">
        <v>504</v>
      </c>
      <c r="D461" s="24" t="str">
        <f>VLOOKUP(C461,teams_owners!A:B,2,FALSE)</f>
        <v>Rob Taylor</v>
      </c>
      <c r="E461" s="27">
        <v>71.66</v>
      </c>
      <c r="F461" s="23" t="s">
        <v>505</v>
      </c>
      <c r="G461" s="24" t="str">
        <f>VLOOKUP(F461,teams_owners!A:B,2,FALSE)</f>
        <v>Greg Mitchell</v>
      </c>
      <c r="H461" s="27">
        <v>140.28</v>
      </c>
    </row>
    <row r="462" spans="1:8" ht="14.25" customHeight="1" x14ac:dyDescent="0.25">
      <c r="A462" s="23" t="s">
        <v>503</v>
      </c>
      <c r="B462" s="23" t="s">
        <v>62</v>
      </c>
      <c r="C462" s="23" t="s">
        <v>29</v>
      </c>
      <c r="D462" s="24" t="str">
        <f>VLOOKUP(C462,teams_owners!A:B,2,FALSE)</f>
        <v>Joe Wilko</v>
      </c>
      <c r="E462" s="27">
        <v>170.4</v>
      </c>
      <c r="F462" s="23" t="s">
        <v>78</v>
      </c>
      <c r="G462" s="24" t="str">
        <f>VLOOKUP(F462,teams_owners!A:B,2,FALSE)</f>
        <v>Luc Chignell</v>
      </c>
      <c r="H462" s="27">
        <v>100</v>
      </c>
    </row>
    <row r="463" spans="1:8" ht="14.25" customHeight="1" x14ac:dyDescent="0.25">
      <c r="A463" s="23" t="s">
        <v>503</v>
      </c>
      <c r="B463" s="23" t="s">
        <v>62</v>
      </c>
      <c r="C463" s="23" t="s">
        <v>50</v>
      </c>
      <c r="D463" s="24" t="str">
        <f>VLOOKUP(C463,teams_owners!A:B,2,FALSE)</f>
        <v>Fiona Kerry</v>
      </c>
      <c r="E463" s="27">
        <v>142.12</v>
      </c>
      <c r="F463" s="23" t="s">
        <v>67</v>
      </c>
      <c r="G463" s="24" t="str">
        <f>VLOOKUP(F463,teams_owners!A:B,2,FALSE)</f>
        <v>Rob Connet</v>
      </c>
      <c r="H463" s="27">
        <v>125.4</v>
      </c>
    </row>
    <row r="464" spans="1:8" ht="14.25" customHeight="1" x14ac:dyDescent="0.25">
      <c r="A464" s="23" t="s">
        <v>503</v>
      </c>
      <c r="B464" s="23" t="s">
        <v>62</v>
      </c>
      <c r="C464" s="23" t="s">
        <v>506</v>
      </c>
      <c r="D464" s="24" t="str">
        <f>VLOOKUP(C464,teams_owners!A:B,2,FALSE)</f>
        <v>Adam Wilko</v>
      </c>
      <c r="E464" s="27">
        <v>108.14</v>
      </c>
      <c r="F464" s="23" t="s">
        <v>83</v>
      </c>
      <c r="G464" s="24" t="str">
        <f>VLOOKUP(F464,teams_owners!A:B,2,FALSE)</f>
        <v>Nathan</v>
      </c>
      <c r="H464" s="27">
        <v>108.86</v>
      </c>
    </row>
    <row r="465" spans="1:8" ht="14.25" customHeight="1" x14ac:dyDescent="0.25">
      <c r="A465" s="23" t="s">
        <v>503</v>
      </c>
      <c r="B465" s="23" t="s">
        <v>62</v>
      </c>
      <c r="C465" s="23" t="s">
        <v>497</v>
      </c>
      <c r="D465" s="24" t="str">
        <f>VLOOKUP(C465,teams_owners!A:B,2,FALSE)</f>
        <v>Rich Andrew</v>
      </c>
      <c r="E465" s="27">
        <v>121.02</v>
      </c>
      <c r="F465" s="23" t="s">
        <v>36</v>
      </c>
      <c r="G465" s="24" t="str">
        <f>VLOOKUP(F465,teams_owners!A:B,2,FALSE)</f>
        <v>Dave Bracegirdle</v>
      </c>
      <c r="H465" s="27">
        <v>169.52</v>
      </c>
    </row>
    <row r="466" spans="1:8" ht="14.25" customHeight="1" x14ac:dyDescent="0.25">
      <c r="A466" s="23" t="s">
        <v>503</v>
      </c>
      <c r="B466" s="23" t="s">
        <v>70</v>
      </c>
      <c r="C466" s="23" t="s">
        <v>504</v>
      </c>
      <c r="D466" s="24" t="str">
        <f>VLOOKUP(C466,teams_owners!A:B,2,FALSE)</f>
        <v>Rob Taylor</v>
      </c>
      <c r="E466" s="27">
        <v>55.14</v>
      </c>
      <c r="F466" s="23" t="s">
        <v>83</v>
      </c>
      <c r="G466" s="24" t="str">
        <f>VLOOKUP(F466,teams_owners!A:B,2,FALSE)</f>
        <v>Nathan</v>
      </c>
      <c r="H466" s="27">
        <v>118.3</v>
      </c>
    </row>
    <row r="467" spans="1:8" ht="14.25" customHeight="1" x14ac:dyDescent="0.25">
      <c r="A467" s="23" t="s">
        <v>503</v>
      </c>
      <c r="B467" s="23" t="s">
        <v>70</v>
      </c>
      <c r="C467" s="23" t="s">
        <v>67</v>
      </c>
      <c r="D467" s="24" t="str">
        <f>VLOOKUP(C467,teams_owners!A:B,2,FALSE)</f>
        <v>Rob Connet</v>
      </c>
      <c r="E467" s="27">
        <v>153.08000000000001</v>
      </c>
      <c r="F467" s="23" t="s">
        <v>505</v>
      </c>
      <c r="G467" s="24" t="str">
        <f>VLOOKUP(F467,teams_owners!A:B,2,FALSE)</f>
        <v>Greg Mitchell</v>
      </c>
      <c r="H467" s="27">
        <v>82.34</v>
      </c>
    </row>
    <row r="468" spans="1:8" ht="14.25" customHeight="1" x14ac:dyDescent="0.25">
      <c r="A468" s="23" t="s">
        <v>503</v>
      </c>
      <c r="B468" s="23" t="s">
        <v>70</v>
      </c>
      <c r="C468" s="23" t="s">
        <v>506</v>
      </c>
      <c r="D468" s="24" t="str">
        <f>VLOOKUP(C468,teams_owners!A:B,2,FALSE)</f>
        <v>Adam Wilko</v>
      </c>
      <c r="E468" s="27">
        <v>109.84</v>
      </c>
      <c r="F468" s="23" t="s">
        <v>29</v>
      </c>
      <c r="G468" s="24" t="str">
        <f>VLOOKUP(F468,teams_owners!A:B,2,FALSE)</f>
        <v>Joe Wilko</v>
      </c>
      <c r="H468" s="27">
        <v>147.32</v>
      </c>
    </row>
    <row r="469" spans="1:8" ht="14.25" customHeight="1" x14ac:dyDescent="0.25">
      <c r="A469" s="23" t="s">
        <v>503</v>
      </c>
      <c r="B469" s="23" t="s">
        <v>70</v>
      </c>
      <c r="C469" s="23" t="s">
        <v>497</v>
      </c>
      <c r="D469" s="24" t="str">
        <f>VLOOKUP(C469,teams_owners!A:B,2,FALSE)</f>
        <v>Rich Andrew</v>
      </c>
      <c r="E469" s="27">
        <v>181.3</v>
      </c>
      <c r="F469" s="23" t="s">
        <v>78</v>
      </c>
      <c r="G469" s="24" t="str">
        <f>VLOOKUP(F469,teams_owners!A:B,2,FALSE)</f>
        <v>Luc Chignell</v>
      </c>
      <c r="H469" s="27">
        <v>117.84</v>
      </c>
    </row>
    <row r="470" spans="1:8" ht="14.25" customHeight="1" x14ac:dyDescent="0.25">
      <c r="A470" s="23" t="s">
        <v>503</v>
      </c>
      <c r="B470" s="23" t="s">
        <v>70</v>
      </c>
      <c r="C470" s="23" t="s">
        <v>50</v>
      </c>
      <c r="D470" s="24" t="str">
        <f>VLOOKUP(C470,teams_owners!A:B,2,FALSE)</f>
        <v>Fiona Kerry</v>
      </c>
      <c r="E470" s="27">
        <v>107.4</v>
      </c>
      <c r="F470" s="23" t="s">
        <v>36</v>
      </c>
      <c r="G470" s="24" t="str">
        <f>VLOOKUP(F470,teams_owners!A:B,2,FALSE)</f>
        <v>Dave Bracegirdle</v>
      </c>
      <c r="H470" s="27">
        <v>106.72</v>
      </c>
    </row>
    <row r="471" spans="1:8" ht="14.25" customHeight="1" x14ac:dyDescent="0.25">
      <c r="A471" s="23" t="s">
        <v>503</v>
      </c>
      <c r="B471" s="23" t="s">
        <v>85</v>
      </c>
      <c r="C471" s="23" t="s">
        <v>504</v>
      </c>
      <c r="D471" s="24" t="str">
        <f>VLOOKUP(C471,teams_owners!A:B,2,FALSE)</f>
        <v>Rob Taylor</v>
      </c>
      <c r="E471" s="27">
        <v>88.7</v>
      </c>
      <c r="F471" s="23" t="s">
        <v>36</v>
      </c>
      <c r="G471" s="24" t="str">
        <f>VLOOKUP(F471,teams_owners!A:B,2,FALSE)</f>
        <v>Dave Bracegirdle</v>
      </c>
      <c r="H471" s="27">
        <v>112.48</v>
      </c>
    </row>
    <row r="472" spans="1:8" ht="14.25" customHeight="1" x14ac:dyDescent="0.25">
      <c r="A472" s="23" t="s">
        <v>503</v>
      </c>
      <c r="B472" s="23" t="s">
        <v>85</v>
      </c>
      <c r="C472" s="23" t="s">
        <v>506</v>
      </c>
      <c r="D472" s="24" t="str">
        <f>VLOOKUP(C472,teams_owners!A:B,2,FALSE)</f>
        <v>Adam Wilko</v>
      </c>
      <c r="E472" s="27">
        <v>124.72</v>
      </c>
      <c r="F472" s="23" t="s">
        <v>505</v>
      </c>
      <c r="G472" s="24" t="str">
        <f>VLOOKUP(F472,teams_owners!A:B,2,FALSE)</f>
        <v>Greg Mitchell</v>
      </c>
      <c r="H472" s="27">
        <v>88.86</v>
      </c>
    </row>
    <row r="473" spans="1:8" ht="14.25" customHeight="1" x14ac:dyDescent="0.25">
      <c r="A473" s="23" t="s">
        <v>503</v>
      </c>
      <c r="B473" s="23" t="s">
        <v>85</v>
      </c>
      <c r="C473" s="23" t="s">
        <v>67</v>
      </c>
      <c r="D473" s="24" t="str">
        <f>VLOOKUP(C473,teams_owners!A:B,2,FALSE)</f>
        <v>Rob Connet</v>
      </c>
      <c r="E473" s="27">
        <v>99.7</v>
      </c>
      <c r="F473" s="23" t="s">
        <v>29</v>
      </c>
      <c r="G473" s="24" t="str">
        <f>VLOOKUP(F473,teams_owners!A:B,2,FALSE)</f>
        <v>Joe Wilko</v>
      </c>
      <c r="H473" s="27">
        <v>126.78</v>
      </c>
    </row>
    <row r="474" spans="1:8" ht="14.25" customHeight="1" x14ac:dyDescent="0.25">
      <c r="A474" s="23" t="s">
        <v>503</v>
      </c>
      <c r="B474" s="23" t="s">
        <v>85</v>
      </c>
      <c r="C474" s="23" t="s">
        <v>50</v>
      </c>
      <c r="D474" s="24" t="str">
        <f>VLOOKUP(C474,teams_owners!A:B,2,FALSE)</f>
        <v>Fiona Kerry</v>
      </c>
      <c r="E474" s="27">
        <v>101.68</v>
      </c>
      <c r="F474" s="23" t="s">
        <v>78</v>
      </c>
      <c r="G474" s="24" t="str">
        <f>VLOOKUP(F474,teams_owners!A:B,2,FALSE)</f>
        <v>Luc Chignell</v>
      </c>
      <c r="H474" s="27">
        <v>87.86</v>
      </c>
    </row>
    <row r="475" spans="1:8" ht="14.25" customHeight="1" x14ac:dyDescent="0.25">
      <c r="A475" s="23" t="s">
        <v>503</v>
      </c>
      <c r="B475" s="23" t="s">
        <v>85</v>
      </c>
      <c r="C475" s="23" t="s">
        <v>497</v>
      </c>
      <c r="D475" s="24" t="str">
        <f>VLOOKUP(C475,teams_owners!A:B,2,FALSE)</f>
        <v>Rich Andrew</v>
      </c>
      <c r="E475" s="27">
        <v>129.18</v>
      </c>
      <c r="F475" s="23" t="s">
        <v>83</v>
      </c>
      <c r="G475" s="24" t="str">
        <f>VLOOKUP(F475,teams_owners!A:B,2,FALSE)</f>
        <v>Nathan</v>
      </c>
      <c r="H475" s="27">
        <v>109.26</v>
      </c>
    </row>
    <row r="476" spans="1:8" ht="14.25" customHeight="1" x14ac:dyDescent="0.25">
      <c r="A476" s="23" t="s">
        <v>503</v>
      </c>
      <c r="B476" s="23" t="s">
        <v>507</v>
      </c>
      <c r="C476" s="23" t="s">
        <v>497</v>
      </c>
      <c r="D476" s="24" t="str">
        <f>VLOOKUP(C476,teams_owners!A:B,2,FALSE)</f>
        <v>Rich Andrew</v>
      </c>
      <c r="E476" s="27">
        <v>135</v>
      </c>
      <c r="F476" s="23" t="s">
        <v>506</v>
      </c>
      <c r="G476" s="24" t="str">
        <f>VLOOKUP(F476,teams_owners!A:B,2,FALSE)</f>
        <v>Adam Wilko</v>
      </c>
      <c r="H476" s="27">
        <v>103.74</v>
      </c>
    </row>
    <row r="477" spans="1:8" ht="14.25" customHeight="1" x14ac:dyDescent="0.25">
      <c r="A477" s="23" t="s">
        <v>503</v>
      </c>
      <c r="B477" s="23" t="s">
        <v>507</v>
      </c>
      <c r="C477" s="23" t="s">
        <v>29</v>
      </c>
      <c r="D477" s="24" t="str">
        <f>VLOOKUP(C477,teams_owners!A:B,2,FALSE)</f>
        <v>Joe Wilko</v>
      </c>
      <c r="E477" s="27">
        <v>123.64</v>
      </c>
      <c r="F477" s="23" t="s">
        <v>50</v>
      </c>
      <c r="G477" s="24" t="str">
        <f>VLOOKUP(F477,teams_owners!A:B,2,FALSE)</f>
        <v>Fiona Kerry</v>
      </c>
      <c r="H477" s="27">
        <v>99.22</v>
      </c>
    </row>
    <row r="478" spans="1:8" ht="14.25" customHeight="1" x14ac:dyDescent="0.25">
      <c r="A478" s="23" t="s">
        <v>503</v>
      </c>
      <c r="B478" s="23" t="s">
        <v>31</v>
      </c>
      <c r="C478" s="23" t="s">
        <v>506</v>
      </c>
      <c r="D478" s="24" t="str">
        <f>VLOOKUP(C478,teams_owners!A:B,2,FALSE)</f>
        <v>Adam Wilko</v>
      </c>
      <c r="E478" s="27">
        <v>104.5</v>
      </c>
      <c r="F478" s="23" t="s">
        <v>50</v>
      </c>
      <c r="G478" s="24" t="str">
        <f>VLOOKUP(F478,teams_owners!A:B,2,FALSE)</f>
        <v>Fiona Kerry</v>
      </c>
      <c r="H478" s="27">
        <v>89.5</v>
      </c>
    </row>
    <row r="479" spans="1:8" ht="14.25" customHeight="1" x14ac:dyDescent="0.25">
      <c r="A479" s="23" t="s">
        <v>503</v>
      </c>
      <c r="B479" s="23" t="s">
        <v>35</v>
      </c>
      <c r="C479" s="23" t="s">
        <v>497</v>
      </c>
      <c r="D479" s="24" t="str">
        <f>VLOOKUP(C479,teams_owners!A:B,2,FALSE)</f>
        <v>Rich Andrew</v>
      </c>
      <c r="E479" s="27">
        <v>106.1</v>
      </c>
      <c r="F479" s="23" t="s">
        <v>29</v>
      </c>
      <c r="G479" s="24" t="str">
        <f>VLOOKUP(F479,teams_owners!A:B,2,FALSE)</f>
        <v>Joe Wilko</v>
      </c>
      <c r="H479" s="27">
        <v>133.86000000000001</v>
      </c>
    </row>
    <row r="480" spans="1:8" ht="14.25" customHeight="1" x14ac:dyDescent="0.25">
      <c r="A480" s="23" t="s">
        <v>503</v>
      </c>
      <c r="B480" s="23" t="s">
        <v>507</v>
      </c>
      <c r="C480" s="23" t="s">
        <v>67</v>
      </c>
      <c r="D480" s="24" t="str">
        <f>VLOOKUP(C480,teams_owners!A:B,2,FALSE)</f>
        <v>Rob Connet</v>
      </c>
      <c r="E480" s="27">
        <v>137.6</v>
      </c>
      <c r="F480" s="23" t="s">
        <v>505</v>
      </c>
      <c r="G480" s="24" t="str">
        <f>VLOOKUP(F480,teams_owners!A:B,2,FALSE)</f>
        <v>Greg Mitchell</v>
      </c>
      <c r="H480" s="27">
        <v>114.68</v>
      </c>
    </row>
    <row r="481" spans="1:8" ht="14.25" customHeight="1" x14ac:dyDescent="0.25">
      <c r="A481" s="23" t="s">
        <v>503</v>
      </c>
      <c r="B481" s="23" t="s">
        <v>507</v>
      </c>
      <c r="C481" s="23" t="s">
        <v>504</v>
      </c>
      <c r="D481" s="24" t="str">
        <f>VLOOKUP(C481,teams_owners!A:B,2,FALSE)</f>
        <v>Rob Taylor</v>
      </c>
      <c r="E481" s="27">
        <v>59.8</v>
      </c>
      <c r="F481" s="23" t="s">
        <v>36</v>
      </c>
      <c r="G481" s="24" t="str">
        <f>VLOOKUP(F481,teams_owners!A:B,2,FALSE)</f>
        <v>Dave Bracegirdle</v>
      </c>
      <c r="H481" s="27">
        <v>12.66</v>
      </c>
    </row>
    <row r="482" spans="1:8" ht="14.25" customHeight="1" x14ac:dyDescent="0.25">
      <c r="A482" s="23" t="s">
        <v>503</v>
      </c>
      <c r="B482" s="23" t="s">
        <v>20</v>
      </c>
      <c r="C482" s="23" t="s">
        <v>67</v>
      </c>
      <c r="D482" s="24" t="str">
        <f>VLOOKUP(C482,teams_owners!A:B,2,FALSE)</f>
        <v>Rob Connet</v>
      </c>
      <c r="E482" s="27">
        <v>111.82</v>
      </c>
      <c r="F482" s="23" t="s">
        <v>36</v>
      </c>
      <c r="G482" s="24" t="str">
        <f>VLOOKUP(F482,teams_owners!A:B,2,FALSE)</f>
        <v>Dave Bracegirdle</v>
      </c>
      <c r="H482" s="27">
        <v>148.08000000000001</v>
      </c>
    </row>
    <row r="483" spans="1:8" ht="14.25" customHeight="1" x14ac:dyDescent="0.25">
      <c r="A483" s="23" t="s">
        <v>503</v>
      </c>
      <c r="B483" s="23" t="s">
        <v>72</v>
      </c>
      <c r="C483" s="23" t="s">
        <v>505</v>
      </c>
      <c r="D483" s="24" t="str">
        <f>VLOOKUP(C483,teams_owners!A:B,2,FALSE)</f>
        <v>Greg Mitchell</v>
      </c>
      <c r="E483" s="27">
        <v>112.06</v>
      </c>
      <c r="F483" s="23" t="s">
        <v>504</v>
      </c>
      <c r="G483" s="24" t="str">
        <f>VLOOKUP(F483,teams_owners!A:B,2,FALSE)</f>
        <v>Rob Taylor</v>
      </c>
      <c r="H483" s="27">
        <v>86.86</v>
      </c>
    </row>
    <row r="484" spans="1:8" ht="14.25" customHeight="1" x14ac:dyDescent="0.25">
      <c r="A484" s="23" t="s">
        <v>515</v>
      </c>
      <c r="B484" s="23" t="s">
        <v>8</v>
      </c>
      <c r="C484" s="23" t="s">
        <v>501</v>
      </c>
      <c r="D484" s="24" t="str">
        <f>VLOOKUP(C484,teams_owners!A:B,2,FALSE)</f>
        <v>Rob Taylor</v>
      </c>
      <c r="E484" s="28">
        <v>145.74</v>
      </c>
      <c r="F484" s="23" t="s">
        <v>67</v>
      </c>
      <c r="G484" s="24" t="str">
        <f>VLOOKUP(F484,teams_owners!A:B,2,FALSE)</f>
        <v>Rob Connet</v>
      </c>
      <c r="H484" s="28">
        <v>100.48</v>
      </c>
    </row>
    <row r="485" spans="1:8" ht="14.25" customHeight="1" x14ac:dyDescent="0.25">
      <c r="A485" s="23" t="s">
        <v>515</v>
      </c>
      <c r="B485" s="23" t="s">
        <v>8</v>
      </c>
      <c r="C485" s="23" t="s">
        <v>505</v>
      </c>
      <c r="D485" s="24" t="str">
        <f>VLOOKUP(C485,teams_owners!A:B,2,FALSE)</f>
        <v>Greg Mitchell</v>
      </c>
      <c r="E485" s="28">
        <v>88.5</v>
      </c>
      <c r="F485" s="23" t="s">
        <v>514</v>
      </c>
      <c r="G485" s="24" t="str">
        <f>VLOOKUP(F485,teams_owners!A:B,2,FALSE)</f>
        <v>Dan Austin</v>
      </c>
      <c r="H485" s="28">
        <v>82.46</v>
      </c>
    </row>
    <row r="486" spans="1:8" ht="14.25" customHeight="1" x14ac:dyDescent="0.25">
      <c r="A486" s="23" t="s">
        <v>515</v>
      </c>
      <c r="B486" s="23" t="s">
        <v>8</v>
      </c>
      <c r="C486" s="23" t="s">
        <v>29</v>
      </c>
      <c r="D486" s="24" t="str">
        <f>VLOOKUP(C486,teams_owners!A:B,2,FALSE)</f>
        <v>Joe Wilko</v>
      </c>
      <c r="E486" s="28">
        <v>123.74</v>
      </c>
      <c r="F486" s="23" t="s">
        <v>83</v>
      </c>
      <c r="G486" s="24" t="str">
        <f>VLOOKUP(F486,teams_owners!A:B,2,FALSE)</f>
        <v>Nathan</v>
      </c>
      <c r="H486" s="28">
        <v>178.86</v>
      </c>
    </row>
    <row r="487" spans="1:8" ht="14.25" customHeight="1" x14ac:dyDescent="0.25">
      <c r="A487" s="23" t="s">
        <v>515</v>
      </c>
      <c r="B487" s="23" t="s">
        <v>8</v>
      </c>
      <c r="C487" s="23" t="s">
        <v>497</v>
      </c>
      <c r="D487" s="24" t="str">
        <f>VLOOKUP(C487,teams_owners!A:B,2,FALSE)</f>
        <v>Rich Andrew</v>
      </c>
      <c r="E487" s="28">
        <v>125.78</v>
      </c>
      <c r="F487" s="23" t="s">
        <v>50</v>
      </c>
      <c r="G487" s="24" t="str">
        <f>VLOOKUP(F487,teams_owners!A:B,2,FALSE)</f>
        <v>Fiona Kerry</v>
      </c>
      <c r="H487" s="28">
        <v>104.88</v>
      </c>
    </row>
    <row r="488" spans="1:8" ht="14.25" customHeight="1" x14ac:dyDescent="0.25">
      <c r="A488" s="23" t="s">
        <v>515</v>
      </c>
      <c r="B488" s="23" t="s">
        <v>8</v>
      </c>
      <c r="C488" s="23" t="s">
        <v>506</v>
      </c>
      <c r="D488" s="24" t="str">
        <f>VLOOKUP(C488,teams_owners!A:B,2,FALSE)</f>
        <v>Adam Wilko</v>
      </c>
      <c r="E488" s="28">
        <v>106.58</v>
      </c>
      <c r="F488" s="23" t="s">
        <v>78</v>
      </c>
      <c r="G488" s="24" t="str">
        <f>VLOOKUP(F488,teams_owners!A:B,2,FALSE)</f>
        <v>Luc Chignell</v>
      </c>
      <c r="H488" s="28">
        <v>107.48</v>
      </c>
    </row>
    <row r="489" spans="1:8" ht="14.25" customHeight="1" x14ac:dyDescent="0.25">
      <c r="A489" s="23" t="s">
        <v>515</v>
      </c>
      <c r="B489" s="23" t="s">
        <v>6</v>
      </c>
      <c r="C489" s="23" t="s">
        <v>501</v>
      </c>
      <c r="D489" s="24" t="str">
        <f>VLOOKUP(C489,teams_owners!A:B,2,FALSE)</f>
        <v>Rob Taylor</v>
      </c>
      <c r="E489" s="28">
        <v>117.44</v>
      </c>
      <c r="F489" s="23" t="s">
        <v>514</v>
      </c>
      <c r="G489" s="24" t="str">
        <f>VLOOKUP(F489,teams_owners!A:B,2,FALSE)</f>
        <v>Dan Austin</v>
      </c>
      <c r="H489" s="28">
        <v>135.32</v>
      </c>
    </row>
    <row r="490" spans="1:8" ht="14.25" customHeight="1" x14ac:dyDescent="0.25">
      <c r="A490" s="23" t="s">
        <v>515</v>
      </c>
      <c r="B490" s="23" t="s">
        <v>6</v>
      </c>
      <c r="C490" s="23" t="s">
        <v>67</v>
      </c>
      <c r="D490" s="24" t="str">
        <f>VLOOKUP(C490,teams_owners!A:B,2,FALSE)</f>
        <v>Rob Connet</v>
      </c>
      <c r="E490" s="28">
        <v>149.4</v>
      </c>
      <c r="F490" s="23" t="s">
        <v>505</v>
      </c>
      <c r="G490" s="24" t="str">
        <f>VLOOKUP(F490,teams_owners!A:B,2,FALSE)</f>
        <v>Greg Mitchell</v>
      </c>
      <c r="H490" s="28">
        <v>157.63999999999999</v>
      </c>
    </row>
    <row r="491" spans="1:8" ht="14.25" customHeight="1" x14ac:dyDescent="0.25">
      <c r="A491" s="23" t="s">
        <v>515</v>
      </c>
      <c r="B491" s="23" t="s">
        <v>6</v>
      </c>
      <c r="C491" s="23" t="s">
        <v>497</v>
      </c>
      <c r="D491" s="24" t="str">
        <f>VLOOKUP(C491,teams_owners!A:B,2,FALSE)</f>
        <v>Rich Andrew</v>
      </c>
      <c r="E491" s="28">
        <v>132.66</v>
      </c>
      <c r="F491" s="23" t="s">
        <v>29</v>
      </c>
      <c r="G491" s="24" t="str">
        <f>VLOOKUP(F491,teams_owners!A:B,2,FALSE)</f>
        <v>Joe Wilko</v>
      </c>
      <c r="H491" s="28">
        <v>92.04</v>
      </c>
    </row>
    <row r="492" spans="1:8" ht="14.25" customHeight="1" x14ac:dyDescent="0.25">
      <c r="A492" s="23" t="s">
        <v>515</v>
      </c>
      <c r="B492" s="23" t="s">
        <v>6</v>
      </c>
      <c r="C492" s="23" t="s">
        <v>506</v>
      </c>
      <c r="D492" s="24" t="str">
        <f>VLOOKUP(C492,teams_owners!A:B,2,FALSE)</f>
        <v>Adam Wilko</v>
      </c>
      <c r="E492" s="28">
        <v>182.28</v>
      </c>
      <c r="F492" s="23" t="s">
        <v>83</v>
      </c>
      <c r="G492" s="24" t="str">
        <f>VLOOKUP(F492,teams_owners!A:B,2,FALSE)</f>
        <v>Nathan</v>
      </c>
      <c r="H492" s="28">
        <v>119.7</v>
      </c>
    </row>
    <row r="493" spans="1:8" ht="14.25" customHeight="1" x14ac:dyDescent="0.25">
      <c r="A493" s="23" t="s">
        <v>515</v>
      </c>
      <c r="B493" s="23" t="s">
        <v>6</v>
      </c>
      <c r="C493" s="23" t="s">
        <v>50</v>
      </c>
      <c r="D493" s="24" t="str">
        <f>VLOOKUP(C493,teams_owners!A:B,2,FALSE)</f>
        <v>Fiona Kerry</v>
      </c>
      <c r="E493" s="28">
        <v>119.44</v>
      </c>
      <c r="F493" s="23" t="s">
        <v>78</v>
      </c>
      <c r="G493" s="24" t="str">
        <f>VLOOKUP(F493,teams_owners!A:B,2,FALSE)</f>
        <v>Luc Chignell</v>
      </c>
      <c r="H493" s="28">
        <v>162.41999999999999</v>
      </c>
    </row>
    <row r="494" spans="1:8" ht="14.25" customHeight="1" x14ac:dyDescent="0.25">
      <c r="A494" s="23" t="s">
        <v>515</v>
      </c>
      <c r="B494" s="23" t="s">
        <v>57</v>
      </c>
      <c r="C494" s="23" t="s">
        <v>501</v>
      </c>
      <c r="D494" s="24" t="str">
        <f>VLOOKUP(C494,teams_owners!A:B,2,FALSE)</f>
        <v>Rob Taylor</v>
      </c>
      <c r="E494" s="28">
        <v>117.78</v>
      </c>
      <c r="F494" s="23" t="s">
        <v>505</v>
      </c>
      <c r="G494" s="24" t="str">
        <f>VLOOKUP(F494,teams_owners!A:B,2,FALSE)</f>
        <v>Greg Mitchell</v>
      </c>
      <c r="H494" s="28">
        <v>159.19999999999999</v>
      </c>
    </row>
    <row r="495" spans="1:8" ht="14.25" customHeight="1" x14ac:dyDescent="0.25">
      <c r="A495" s="23" t="s">
        <v>515</v>
      </c>
      <c r="B495" s="23" t="s">
        <v>57</v>
      </c>
      <c r="C495" s="23" t="s">
        <v>67</v>
      </c>
      <c r="D495" s="24" t="str">
        <f>VLOOKUP(C495,teams_owners!A:B,2,FALSE)</f>
        <v>Rob Connet</v>
      </c>
      <c r="E495" s="28">
        <v>138.91999999999999</v>
      </c>
      <c r="F495" s="23" t="s">
        <v>514</v>
      </c>
      <c r="G495" s="24" t="str">
        <f>VLOOKUP(F495,teams_owners!A:B,2,FALSE)</f>
        <v>Dan Austin</v>
      </c>
      <c r="H495" s="28">
        <v>177.18</v>
      </c>
    </row>
    <row r="496" spans="1:8" ht="14.25" customHeight="1" x14ac:dyDescent="0.25">
      <c r="A496" s="23" t="s">
        <v>515</v>
      </c>
      <c r="B496" s="23" t="s">
        <v>57</v>
      </c>
      <c r="C496" s="23" t="s">
        <v>50</v>
      </c>
      <c r="D496" s="24" t="str">
        <f>VLOOKUP(C496,teams_owners!A:B,2,FALSE)</f>
        <v>Fiona Kerry</v>
      </c>
      <c r="E496" s="28">
        <v>132.24</v>
      </c>
      <c r="F496" s="23" t="s">
        <v>29</v>
      </c>
      <c r="G496" s="24" t="str">
        <f>VLOOKUP(F496,teams_owners!A:B,2,FALSE)</f>
        <v>Joe Wilko</v>
      </c>
      <c r="H496" s="28">
        <v>98.54</v>
      </c>
    </row>
    <row r="497" spans="1:8" ht="14.25" customHeight="1" x14ac:dyDescent="0.25">
      <c r="A497" s="23" t="s">
        <v>515</v>
      </c>
      <c r="B497" s="23" t="s">
        <v>57</v>
      </c>
      <c r="C497" s="23" t="s">
        <v>78</v>
      </c>
      <c r="D497" s="24" t="str">
        <f>VLOOKUP(C497,teams_owners!A:B,2,FALSE)</f>
        <v>Luc Chignell</v>
      </c>
      <c r="E497" s="28">
        <v>136.78</v>
      </c>
      <c r="F497" s="23" t="s">
        <v>83</v>
      </c>
      <c r="G497" s="24" t="str">
        <f>VLOOKUP(F497,teams_owners!A:B,2,FALSE)</f>
        <v>Nathan</v>
      </c>
      <c r="H497" s="28">
        <v>80.16</v>
      </c>
    </row>
    <row r="498" spans="1:8" ht="14.25" customHeight="1" x14ac:dyDescent="0.25">
      <c r="A498" s="23" t="s">
        <v>515</v>
      </c>
      <c r="B498" s="23" t="s">
        <v>57</v>
      </c>
      <c r="C498" s="23" t="s">
        <v>497</v>
      </c>
      <c r="D498" s="24" t="str">
        <f>VLOOKUP(C498,teams_owners!A:B,2,FALSE)</f>
        <v>Rich Andrew</v>
      </c>
      <c r="E498" s="28">
        <v>147.44</v>
      </c>
      <c r="F498" s="23" t="s">
        <v>506</v>
      </c>
      <c r="G498" s="24" t="str">
        <f>VLOOKUP(F498,teams_owners!A:B,2,FALSE)</f>
        <v>Adam Wilko</v>
      </c>
      <c r="H498" s="28">
        <v>179.78</v>
      </c>
    </row>
    <row r="499" spans="1:8" ht="14.25" customHeight="1" x14ac:dyDescent="0.25">
      <c r="A499" s="23" t="s">
        <v>515</v>
      </c>
      <c r="B499" s="23" t="s">
        <v>41</v>
      </c>
      <c r="C499" s="23" t="s">
        <v>501</v>
      </c>
      <c r="D499" s="24" t="str">
        <f>VLOOKUP(C499,teams_owners!A:B,2,FALSE)</f>
        <v>Rob Taylor</v>
      </c>
      <c r="E499" s="28">
        <v>104.56</v>
      </c>
      <c r="F499" s="23" t="s">
        <v>497</v>
      </c>
      <c r="G499" s="24" t="str">
        <f>VLOOKUP(F499,teams_owners!A:B,2,FALSE)</f>
        <v>Rich Andrew</v>
      </c>
      <c r="H499" s="28">
        <v>153.9</v>
      </c>
    </row>
    <row r="500" spans="1:8" ht="14.25" customHeight="1" x14ac:dyDescent="0.25">
      <c r="A500" s="23" t="s">
        <v>515</v>
      </c>
      <c r="B500" s="23" t="s">
        <v>41</v>
      </c>
      <c r="C500" s="23" t="s">
        <v>29</v>
      </c>
      <c r="D500" s="24" t="str">
        <f>VLOOKUP(C500,teams_owners!A:B,2,FALSE)</f>
        <v>Joe Wilko</v>
      </c>
      <c r="E500" s="28">
        <v>87.82</v>
      </c>
      <c r="F500" s="23" t="s">
        <v>514</v>
      </c>
      <c r="G500" s="24" t="str">
        <f>VLOOKUP(F500,teams_owners!A:B,2,FALSE)</f>
        <v>Dan Austin</v>
      </c>
      <c r="H500" s="28">
        <v>136.56</v>
      </c>
    </row>
    <row r="501" spans="1:8" ht="14.25" customHeight="1" x14ac:dyDescent="0.25">
      <c r="A501" s="23" t="s">
        <v>515</v>
      </c>
      <c r="B501" s="23" t="s">
        <v>41</v>
      </c>
      <c r="C501" s="23" t="s">
        <v>505</v>
      </c>
      <c r="D501" s="24" t="str">
        <f>VLOOKUP(C501,teams_owners!A:B,2,FALSE)</f>
        <v>Greg Mitchell</v>
      </c>
      <c r="E501" s="28">
        <v>132.66</v>
      </c>
      <c r="F501" s="23" t="s">
        <v>83</v>
      </c>
      <c r="G501" s="24" t="str">
        <f>VLOOKUP(F501,teams_owners!A:B,2,FALSE)</f>
        <v>Nathan</v>
      </c>
      <c r="H501" s="28">
        <v>100.7</v>
      </c>
    </row>
    <row r="502" spans="1:8" ht="14.25" customHeight="1" x14ac:dyDescent="0.25">
      <c r="A502" s="23" t="s">
        <v>515</v>
      </c>
      <c r="B502" s="23" t="s">
        <v>41</v>
      </c>
      <c r="C502" s="23" t="s">
        <v>67</v>
      </c>
      <c r="D502" s="24" t="str">
        <f>VLOOKUP(C502,teams_owners!A:B,2,FALSE)</f>
        <v>Rob Connet</v>
      </c>
      <c r="E502" s="28">
        <v>116.82</v>
      </c>
      <c r="F502" s="23" t="s">
        <v>78</v>
      </c>
      <c r="G502" s="24" t="str">
        <f>VLOOKUP(F502,teams_owners!A:B,2,FALSE)</f>
        <v>Luc Chignell</v>
      </c>
      <c r="H502" s="28">
        <v>142.46</v>
      </c>
    </row>
    <row r="503" spans="1:8" ht="14.25" customHeight="1" x14ac:dyDescent="0.25">
      <c r="A503" s="23" t="s">
        <v>515</v>
      </c>
      <c r="B503" s="23" t="s">
        <v>41</v>
      </c>
      <c r="C503" s="23" t="s">
        <v>50</v>
      </c>
      <c r="D503" s="24" t="str">
        <f>VLOOKUP(C503,teams_owners!A:B,2,FALSE)</f>
        <v>Fiona Kerry</v>
      </c>
      <c r="E503" s="28">
        <v>146.76</v>
      </c>
      <c r="F503" s="23" t="s">
        <v>506</v>
      </c>
      <c r="G503" s="24" t="str">
        <f>VLOOKUP(F503,teams_owners!A:B,2,FALSE)</f>
        <v>Adam Wilko</v>
      </c>
      <c r="H503" s="28">
        <v>138.80000000000001</v>
      </c>
    </row>
    <row r="504" spans="1:8" ht="14.25" customHeight="1" x14ac:dyDescent="0.25">
      <c r="A504" s="23" t="s">
        <v>515</v>
      </c>
      <c r="B504" s="23" t="s">
        <v>27</v>
      </c>
      <c r="C504" s="23" t="s">
        <v>501</v>
      </c>
      <c r="D504" s="24" t="str">
        <f>VLOOKUP(C504,teams_owners!A:B,2,FALSE)</f>
        <v>Rob Taylor</v>
      </c>
      <c r="E504" s="28">
        <v>162.04</v>
      </c>
      <c r="F504" s="23" t="s">
        <v>50</v>
      </c>
      <c r="G504" s="24" t="str">
        <f>VLOOKUP(F504,teams_owners!A:B,2,FALSE)</f>
        <v>Fiona Kerry</v>
      </c>
      <c r="H504" s="28">
        <v>98.5</v>
      </c>
    </row>
    <row r="505" spans="1:8" ht="14.25" customHeight="1" x14ac:dyDescent="0.25">
      <c r="A505" s="23" t="s">
        <v>515</v>
      </c>
      <c r="B505" s="23" t="s">
        <v>27</v>
      </c>
      <c r="C505" s="23" t="s">
        <v>514</v>
      </c>
      <c r="D505" s="24" t="str">
        <f>VLOOKUP(C505,teams_owners!A:B,2,FALSE)</f>
        <v>Dan Austin</v>
      </c>
      <c r="E505" s="28">
        <v>114.92</v>
      </c>
      <c r="F505" s="23" t="s">
        <v>83</v>
      </c>
      <c r="G505" s="24" t="str">
        <f>VLOOKUP(F505,teams_owners!A:B,2,FALSE)</f>
        <v>Nathan</v>
      </c>
      <c r="H505" s="28">
        <v>137.47999999999999</v>
      </c>
    </row>
    <row r="506" spans="1:8" ht="14.25" customHeight="1" x14ac:dyDescent="0.25">
      <c r="A506" s="23" t="s">
        <v>515</v>
      </c>
      <c r="B506" s="23" t="s">
        <v>27</v>
      </c>
      <c r="C506" s="23" t="s">
        <v>505</v>
      </c>
      <c r="D506" s="24" t="str">
        <f>VLOOKUP(C506,teams_owners!A:B,2,FALSE)</f>
        <v>Greg Mitchell</v>
      </c>
      <c r="E506" s="28">
        <v>124.88</v>
      </c>
      <c r="F506" s="23" t="s">
        <v>29</v>
      </c>
      <c r="G506" s="24" t="str">
        <f>VLOOKUP(F506,teams_owners!A:B,2,FALSE)</f>
        <v>Joe Wilko</v>
      </c>
      <c r="H506" s="28">
        <v>124.72</v>
      </c>
    </row>
    <row r="507" spans="1:8" ht="14.25" customHeight="1" x14ac:dyDescent="0.25">
      <c r="A507" s="23" t="s">
        <v>515</v>
      </c>
      <c r="B507" s="23" t="s">
        <v>27</v>
      </c>
      <c r="C507" s="23" t="s">
        <v>506</v>
      </c>
      <c r="D507" s="24" t="str">
        <f>VLOOKUP(C507,teams_owners!A:B,2,FALSE)</f>
        <v>Adam Wilko</v>
      </c>
      <c r="E507" s="28">
        <v>151.41999999999999</v>
      </c>
      <c r="F507" s="23" t="s">
        <v>67</v>
      </c>
      <c r="G507" s="24" t="str">
        <f>VLOOKUP(F507,teams_owners!A:B,2,FALSE)</f>
        <v>Rob Connet</v>
      </c>
      <c r="H507" s="28">
        <v>181.56</v>
      </c>
    </row>
    <row r="508" spans="1:8" ht="14.25" customHeight="1" x14ac:dyDescent="0.25">
      <c r="A508" s="23" t="s">
        <v>515</v>
      </c>
      <c r="B508" s="23" t="s">
        <v>27</v>
      </c>
      <c r="C508" s="23" t="s">
        <v>497</v>
      </c>
      <c r="D508" s="24" t="str">
        <f>VLOOKUP(C508,teams_owners!A:B,2,FALSE)</f>
        <v>Rich Andrew</v>
      </c>
      <c r="E508" s="28">
        <v>158</v>
      </c>
      <c r="F508" s="23" t="s">
        <v>78</v>
      </c>
      <c r="G508" s="24" t="str">
        <f>VLOOKUP(F508,teams_owners!A:B,2,FALSE)</f>
        <v>Luc Chignell</v>
      </c>
      <c r="H508" s="28">
        <v>121.68</v>
      </c>
    </row>
    <row r="509" spans="1:8" ht="14.25" customHeight="1" x14ac:dyDescent="0.25">
      <c r="A509" s="23" t="s">
        <v>515</v>
      </c>
      <c r="B509" s="23" t="s">
        <v>46</v>
      </c>
      <c r="C509" s="23" t="s">
        <v>501</v>
      </c>
      <c r="D509" s="24" t="str">
        <f>VLOOKUP(C509,teams_owners!A:B,2,FALSE)</f>
        <v>Rob Taylor</v>
      </c>
      <c r="E509" s="28">
        <v>85.64</v>
      </c>
      <c r="F509" s="23" t="s">
        <v>506</v>
      </c>
      <c r="G509" s="24" t="str">
        <f>VLOOKUP(F509,teams_owners!A:B,2,FALSE)</f>
        <v>Adam Wilko</v>
      </c>
      <c r="H509" s="28">
        <v>143.18</v>
      </c>
    </row>
    <row r="510" spans="1:8" ht="14.25" customHeight="1" x14ac:dyDescent="0.25">
      <c r="A510" s="23" t="s">
        <v>515</v>
      </c>
      <c r="B510" s="23" t="s">
        <v>46</v>
      </c>
      <c r="C510" s="23" t="s">
        <v>497</v>
      </c>
      <c r="D510" s="24" t="str">
        <f>VLOOKUP(C510,teams_owners!A:B,2,FALSE)</f>
        <v>Rich Andrew</v>
      </c>
      <c r="E510" s="28">
        <v>136.6</v>
      </c>
      <c r="F510" s="23" t="s">
        <v>514</v>
      </c>
      <c r="G510" s="24" t="str">
        <f>VLOOKUP(F510,teams_owners!A:B,2,FALSE)</f>
        <v>Dan Austin</v>
      </c>
      <c r="H510" s="28">
        <v>115.82</v>
      </c>
    </row>
    <row r="511" spans="1:8" ht="14.25" customHeight="1" x14ac:dyDescent="0.25">
      <c r="A511" s="23" t="s">
        <v>515</v>
      </c>
      <c r="B511" s="23" t="s">
        <v>46</v>
      </c>
      <c r="C511" s="23" t="s">
        <v>50</v>
      </c>
      <c r="D511" s="24" t="str">
        <f>VLOOKUP(C511,teams_owners!A:B,2,FALSE)</f>
        <v>Fiona Kerry</v>
      </c>
      <c r="E511" s="28">
        <v>105.58</v>
      </c>
      <c r="F511" s="23" t="s">
        <v>505</v>
      </c>
      <c r="G511" s="24" t="str">
        <f>VLOOKUP(F511,teams_owners!A:B,2,FALSE)</f>
        <v>Greg Mitchell</v>
      </c>
      <c r="H511" s="28">
        <v>120.78</v>
      </c>
    </row>
    <row r="512" spans="1:8" ht="14.25" customHeight="1" x14ac:dyDescent="0.25">
      <c r="A512" s="23" t="s">
        <v>515</v>
      </c>
      <c r="B512" s="23" t="s">
        <v>46</v>
      </c>
      <c r="C512" s="23" t="s">
        <v>67</v>
      </c>
      <c r="D512" s="24" t="str">
        <f>VLOOKUP(C512,teams_owners!A:B,2,FALSE)</f>
        <v>Rob Connet</v>
      </c>
      <c r="E512" s="28">
        <v>154.16</v>
      </c>
      <c r="F512" s="23" t="s">
        <v>83</v>
      </c>
      <c r="G512" s="24" t="str">
        <f>VLOOKUP(F512,teams_owners!A:B,2,FALSE)</f>
        <v>Nathan</v>
      </c>
      <c r="H512" s="28">
        <v>102.58</v>
      </c>
    </row>
    <row r="513" spans="1:8" ht="14.25" customHeight="1" x14ac:dyDescent="0.25">
      <c r="A513" s="23" t="s">
        <v>515</v>
      </c>
      <c r="B513" s="23" t="s">
        <v>46</v>
      </c>
      <c r="C513" s="23" t="s">
        <v>29</v>
      </c>
      <c r="D513" s="24" t="str">
        <f>VLOOKUP(C513,teams_owners!A:B,2,FALSE)</f>
        <v>Joe Wilko</v>
      </c>
      <c r="E513" s="28">
        <v>96.02</v>
      </c>
      <c r="F513" s="23" t="s">
        <v>78</v>
      </c>
      <c r="G513" s="24" t="str">
        <f>VLOOKUP(F513,teams_owners!A:B,2,FALSE)</f>
        <v>Luc Chignell</v>
      </c>
      <c r="H513" s="28">
        <v>149.24</v>
      </c>
    </row>
    <row r="514" spans="1:8" ht="14.25" customHeight="1" x14ac:dyDescent="0.25">
      <c r="A514" s="23" t="s">
        <v>515</v>
      </c>
      <c r="B514" s="23" t="s">
        <v>54</v>
      </c>
      <c r="C514" s="23" t="s">
        <v>501</v>
      </c>
      <c r="D514" s="24" t="str">
        <f>VLOOKUP(C514,teams_owners!A:B,2,FALSE)</f>
        <v>Rob Taylor</v>
      </c>
      <c r="E514" s="28">
        <v>113.88</v>
      </c>
      <c r="F514" s="23" t="s">
        <v>78</v>
      </c>
      <c r="G514" s="24" t="str">
        <f>VLOOKUP(F514,teams_owners!A:B,2,FALSE)</f>
        <v>Luc Chignell</v>
      </c>
      <c r="H514" s="28">
        <v>117.34</v>
      </c>
    </row>
    <row r="515" spans="1:8" ht="14.25" customHeight="1" x14ac:dyDescent="0.25">
      <c r="A515" s="23" t="s">
        <v>515</v>
      </c>
      <c r="B515" s="23" t="s">
        <v>54</v>
      </c>
      <c r="C515" s="23" t="s">
        <v>50</v>
      </c>
      <c r="D515" s="24" t="str">
        <f>VLOOKUP(C515,teams_owners!A:B,2,FALSE)</f>
        <v>Fiona Kerry</v>
      </c>
      <c r="E515" s="28">
        <v>146.12</v>
      </c>
      <c r="F515" s="23" t="s">
        <v>514</v>
      </c>
      <c r="G515" s="24" t="str">
        <f>VLOOKUP(F515,teams_owners!A:B,2,FALSE)</f>
        <v>Dan Austin</v>
      </c>
      <c r="H515" s="28">
        <v>156.16</v>
      </c>
    </row>
    <row r="516" spans="1:8" ht="14.25" customHeight="1" x14ac:dyDescent="0.25">
      <c r="A516" s="23" t="s">
        <v>515</v>
      </c>
      <c r="B516" s="23" t="s">
        <v>54</v>
      </c>
      <c r="C516" s="23" t="s">
        <v>506</v>
      </c>
      <c r="D516" s="24" t="str">
        <f>VLOOKUP(C516,teams_owners!A:B,2,FALSE)</f>
        <v>Adam Wilko</v>
      </c>
      <c r="E516" s="28">
        <v>129</v>
      </c>
      <c r="F516" s="23" t="s">
        <v>505</v>
      </c>
      <c r="G516" s="24" t="str">
        <f>VLOOKUP(F516,teams_owners!A:B,2,FALSE)</f>
        <v>Greg Mitchell</v>
      </c>
      <c r="H516" s="28">
        <v>170.9</v>
      </c>
    </row>
    <row r="517" spans="1:8" ht="14.25" customHeight="1" x14ac:dyDescent="0.25">
      <c r="A517" s="23" t="s">
        <v>515</v>
      </c>
      <c r="B517" s="23" t="s">
        <v>54</v>
      </c>
      <c r="C517" s="23" t="s">
        <v>67</v>
      </c>
      <c r="D517" s="24" t="str">
        <f>VLOOKUP(C517,teams_owners!A:B,2,FALSE)</f>
        <v>Rob Connet</v>
      </c>
      <c r="E517" s="28">
        <v>112.32</v>
      </c>
      <c r="F517" s="23" t="s">
        <v>29</v>
      </c>
      <c r="G517" s="24" t="str">
        <f>VLOOKUP(F517,teams_owners!A:B,2,FALSE)</f>
        <v>Joe Wilko</v>
      </c>
      <c r="H517" s="28">
        <v>119.94</v>
      </c>
    </row>
    <row r="518" spans="1:8" ht="14.25" customHeight="1" x14ac:dyDescent="0.25">
      <c r="A518" s="23" t="s">
        <v>515</v>
      </c>
      <c r="B518" s="23" t="s">
        <v>54</v>
      </c>
      <c r="C518" s="23" t="s">
        <v>497</v>
      </c>
      <c r="D518" s="24" t="str">
        <f>VLOOKUP(C518,teams_owners!A:B,2,FALSE)</f>
        <v>Rich Andrew</v>
      </c>
      <c r="E518" s="28">
        <v>159.76</v>
      </c>
      <c r="F518" s="23" t="s">
        <v>83</v>
      </c>
      <c r="G518" s="24" t="str">
        <f>VLOOKUP(F518,teams_owners!A:B,2,FALSE)</f>
        <v>Nathan</v>
      </c>
      <c r="H518" s="28">
        <v>87.6</v>
      </c>
    </row>
    <row r="519" spans="1:8" ht="14.25" customHeight="1" x14ac:dyDescent="0.25">
      <c r="A519" s="23" t="s">
        <v>515</v>
      </c>
      <c r="B519" s="23" t="s">
        <v>55</v>
      </c>
      <c r="C519" s="23" t="s">
        <v>501</v>
      </c>
      <c r="D519" s="24" t="str">
        <f>VLOOKUP(C519,teams_owners!A:B,2,FALSE)</f>
        <v>Rob Taylor</v>
      </c>
      <c r="E519" s="28">
        <v>132.84</v>
      </c>
      <c r="F519" s="23" t="s">
        <v>29</v>
      </c>
      <c r="G519" s="24" t="str">
        <f>VLOOKUP(F519,teams_owners!A:B,2,FALSE)</f>
        <v>Joe Wilko</v>
      </c>
      <c r="H519" s="28">
        <v>89.9</v>
      </c>
    </row>
    <row r="520" spans="1:8" ht="14.25" customHeight="1" x14ac:dyDescent="0.25">
      <c r="A520" s="23" t="s">
        <v>515</v>
      </c>
      <c r="B520" s="23" t="s">
        <v>55</v>
      </c>
      <c r="C520" s="23" t="s">
        <v>506</v>
      </c>
      <c r="D520" s="24" t="str">
        <f>VLOOKUP(C520,teams_owners!A:B,2,FALSE)</f>
        <v>Adam Wilko</v>
      </c>
      <c r="E520" s="28">
        <v>133.47999999999999</v>
      </c>
      <c r="F520" s="23" t="s">
        <v>514</v>
      </c>
      <c r="G520" s="24" t="str">
        <f>VLOOKUP(F520,teams_owners!A:B,2,FALSE)</f>
        <v>Dan Austin</v>
      </c>
      <c r="H520" s="28">
        <v>126.28</v>
      </c>
    </row>
    <row r="521" spans="1:8" ht="14.25" customHeight="1" x14ac:dyDescent="0.25">
      <c r="A521" s="23" t="s">
        <v>515</v>
      </c>
      <c r="B521" s="23" t="s">
        <v>55</v>
      </c>
      <c r="C521" s="23" t="s">
        <v>505</v>
      </c>
      <c r="D521" s="24" t="str">
        <f>VLOOKUP(C521,teams_owners!A:B,2,FALSE)</f>
        <v>Greg Mitchell</v>
      </c>
      <c r="E521" s="28">
        <v>149.38</v>
      </c>
      <c r="F521" s="23" t="s">
        <v>78</v>
      </c>
      <c r="G521" s="24" t="str">
        <f>VLOOKUP(F521,teams_owners!A:B,2,FALSE)</f>
        <v>Luc Chignell</v>
      </c>
      <c r="H521" s="28">
        <v>177.32</v>
      </c>
    </row>
    <row r="522" spans="1:8" ht="14.25" customHeight="1" x14ac:dyDescent="0.25">
      <c r="A522" s="23" t="s">
        <v>515</v>
      </c>
      <c r="B522" s="23" t="s">
        <v>55</v>
      </c>
      <c r="C522" s="23" t="s">
        <v>497</v>
      </c>
      <c r="D522" s="24" t="str">
        <f>VLOOKUP(C522,teams_owners!A:B,2,FALSE)</f>
        <v>Rich Andrew</v>
      </c>
      <c r="E522" s="28">
        <v>149.26</v>
      </c>
      <c r="F522" s="23" t="s">
        <v>67</v>
      </c>
      <c r="G522" s="24" t="str">
        <f>VLOOKUP(F522,teams_owners!A:B,2,FALSE)</f>
        <v>Rob Connet</v>
      </c>
      <c r="H522" s="28">
        <v>157.58000000000001</v>
      </c>
    </row>
    <row r="523" spans="1:8" ht="14.25" customHeight="1" x14ac:dyDescent="0.25">
      <c r="A523" s="23" t="s">
        <v>515</v>
      </c>
      <c r="B523" s="23" t="s">
        <v>55</v>
      </c>
      <c r="C523" s="23" t="s">
        <v>50</v>
      </c>
      <c r="D523" s="24" t="str">
        <f>VLOOKUP(C523,teams_owners!A:B,2,FALSE)</f>
        <v>Fiona Kerry</v>
      </c>
      <c r="E523" s="28">
        <v>153.88</v>
      </c>
      <c r="F523" s="23" t="s">
        <v>83</v>
      </c>
      <c r="G523" s="24" t="str">
        <f>VLOOKUP(F523,teams_owners!A:B,2,FALSE)</f>
        <v>Nathan</v>
      </c>
      <c r="H523" s="28">
        <v>106.1</v>
      </c>
    </row>
    <row r="524" spans="1:8" ht="14.25" customHeight="1" x14ac:dyDescent="0.25">
      <c r="A524" s="23" t="s">
        <v>515</v>
      </c>
      <c r="B524" s="23" t="s">
        <v>77</v>
      </c>
      <c r="C524" s="23" t="s">
        <v>501</v>
      </c>
      <c r="D524" s="24" t="str">
        <f>VLOOKUP(C524,teams_owners!A:B,2,FALSE)</f>
        <v>Rob Taylor</v>
      </c>
      <c r="E524" s="28">
        <v>105.2</v>
      </c>
      <c r="F524" s="23" t="s">
        <v>83</v>
      </c>
      <c r="G524" s="24" t="str">
        <f>VLOOKUP(F524,teams_owners!A:B,2,FALSE)</f>
        <v>Nathan</v>
      </c>
      <c r="H524" s="28">
        <v>133.56</v>
      </c>
    </row>
    <row r="525" spans="1:8" ht="14.25" customHeight="1" x14ac:dyDescent="0.25">
      <c r="A525" s="23" t="s">
        <v>515</v>
      </c>
      <c r="B525" s="23" t="s">
        <v>77</v>
      </c>
      <c r="C525" s="23" t="s">
        <v>514</v>
      </c>
      <c r="D525" s="24" t="str">
        <f>VLOOKUP(C525,teams_owners!A:B,2,FALSE)</f>
        <v>Dan Austin</v>
      </c>
      <c r="E525" s="28">
        <v>101.88</v>
      </c>
      <c r="F525" s="23" t="s">
        <v>78</v>
      </c>
      <c r="G525" s="24" t="str">
        <f>VLOOKUP(F525,teams_owners!A:B,2,FALSE)</f>
        <v>Luc Chignell</v>
      </c>
      <c r="H525" s="28">
        <v>141.84</v>
      </c>
    </row>
    <row r="526" spans="1:8" ht="14.25" customHeight="1" x14ac:dyDescent="0.25">
      <c r="A526" s="23" t="s">
        <v>515</v>
      </c>
      <c r="B526" s="23" t="s">
        <v>77</v>
      </c>
      <c r="C526" s="23" t="s">
        <v>497</v>
      </c>
      <c r="D526" s="24" t="str">
        <f>VLOOKUP(C526,teams_owners!A:B,2,FALSE)</f>
        <v>Rich Andrew</v>
      </c>
      <c r="E526" s="28">
        <v>154.28</v>
      </c>
      <c r="F526" s="23" t="s">
        <v>505</v>
      </c>
      <c r="G526" s="24" t="str">
        <f>VLOOKUP(F526,teams_owners!A:B,2,FALSE)</f>
        <v>Greg Mitchell</v>
      </c>
      <c r="H526" s="28">
        <v>93.8</v>
      </c>
    </row>
    <row r="527" spans="1:8" ht="14.25" customHeight="1" x14ac:dyDescent="0.25">
      <c r="A527" s="23" t="s">
        <v>515</v>
      </c>
      <c r="B527" s="23" t="s">
        <v>77</v>
      </c>
      <c r="C527" s="23" t="s">
        <v>50</v>
      </c>
      <c r="D527" s="24" t="str">
        <f>VLOOKUP(C527,teams_owners!A:B,2,FALSE)</f>
        <v>Fiona Kerry</v>
      </c>
      <c r="E527" s="28">
        <v>162.69999999999999</v>
      </c>
      <c r="F527" s="23" t="s">
        <v>67</v>
      </c>
      <c r="G527" s="24" t="str">
        <f>VLOOKUP(F527,teams_owners!A:B,2,FALSE)</f>
        <v>Rob Connet</v>
      </c>
      <c r="H527" s="28">
        <v>148.9</v>
      </c>
    </row>
    <row r="528" spans="1:8" ht="14.25" customHeight="1" x14ac:dyDescent="0.25">
      <c r="A528" s="23" t="s">
        <v>515</v>
      </c>
      <c r="B528" s="23" t="s">
        <v>77</v>
      </c>
      <c r="C528" s="23" t="s">
        <v>506</v>
      </c>
      <c r="D528" s="24" t="str">
        <f>VLOOKUP(C528,teams_owners!A:B,2,FALSE)</f>
        <v>Adam Wilko</v>
      </c>
      <c r="E528" s="28">
        <v>89.88</v>
      </c>
      <c r="F528" s="23" t="s">
        <v>29</v>
      </c>
      <c r="G528" s="24" t="str">
        <f>VLOOKUP(F528,teams_owners!A:B,2,FALSE)</f>
        <v>Joe Wilko</v>
      </c>
      <c r="H528" s="28">
        <v>116.54</v>
      </c>
    </row>
    <row r="529" spans="1:8" ht="14.25" customHeight="1" x14ac:dyDescent="0.25">
      <c r="A529" s="23" t="s">
        <v>515</v>
      </c>
      <c r="B529" s="23" t="s">
        <v>84</v>
      </c>
      <c r="C529" s="23" t="s">
        <v>501</v>
      </c>
      <c r="D529" s="24" t="str">
        <f>VLOOKUP(C529,teams_owners!A:B,2,FALSE)</f>
        <v>Rob Taylor</v>
      </c>
      <c r="E529" s="28">
        <v>107.88</v>
      </c>
      <c r="F529" s="23" t="s">
        <v>67</v>
      </c>
      <c r="G529" s="24" t="str">
        <f>VLOOKUP(F529,teams_owners!A:B,2,FALSE)</f>
        <v>Rob Connet</v>
      </c>
      <c r="H529" s="28">
        <v>190.38</v>
      </c>
    </row>
    <row r="530" spans="1:8" ht="14.25" customHeight="1" x14ac:dyDescent="0.25">
      <c r="A530" s="23" t="s">
        <v>515</v>
      </c>
      <c r="B530" s="23" t="s">
        <v>84</v>
      </c>
      <c r="C530" s="23" t="s">
        <v>505</v>
      </c>
      <c r="D530" s="24" t="str">
        <f>VLOOKUP(C530,teams_owners!A:B,2,FALSE)</f>
        <v>Greg Mitchell</v>
      </c>
      <c r="E530" s="28">
        <v>114.08</v>
      </c>
      <c r="F530" s="23" t="s">
        <v>514</v>
      </c>
      <c r="G530" s="24" t="str">
        <f>VLOOKUP(F530,teams_owners!A:B,2,FALSE)</f>
        <v>Dan Austin</v>
      </c>
      <c r="H530" s="28">
        <v>100.66</v>
      </c>
    </row>
    <row r="531" spans="1:8" ht="14.25" customHeight="1" x14ac:dyDescent="0.25">
      <c r="A531" s="23" t="s">
        <v>515</v>
      </c>
      <c r="B531" s="23" t="s">
        <v>84</v>
      </c>
      <c r="C531" s="23" t="s">
        <v>29</v>
      </c>
      <c r="D531" s="24" t="str">
        <f>VLOOKUP(C531,teams_owners!A:B,2,FALSE)</f>
        <v>Joe Wilko</v>
      </c>
      <c r="E531" s="28">
        <v>86.2</v>
      </c>
      <c r="F531" s="23" t="s">
        <v>83</v>
      </c>
      <c r="G531" s="24" t="str">
        <f>VLOOKUP(F531,teams_owners!A:B,2,FALSE)</f>
        <v>Nathan</v>
      </c>
      <c r="H531" s="28">
        <v>106.02</v>
      </c>
    </row>
    <row r="532" spans="1:8" ht="14.25" customHeight="1" x14ac:dyDescent="0.25">
      <c r="A532" s="23" t="s">
        <v>515</v>
      </c>
      <c r="B532" s="23" t="s">
        <v>84</v>
      </c>
      <c r="C532" s="23" t="s">
        <v>497</v>
      </c>
      <c r="D532" s="24" t="str">
        <f>VLOOKUP(C532,teams_owners!A:B,2,FALSE)</f>
        <v>Rich Andrew</v>
      </c>
      <c r="E532" s="28">
        <v>142.02000000000001</v>
      </c>
      <c r="F532" s="23" t="s">
        <v>50</v>
      </c>
      <c r="G532" s="24" t="str">
        <f>VLOOKUP(F532,teams_owners!A:B,2,FALSE)</f>
        <v>Fiona Kerry</v>
      </c>
      <c r="H532" s="28">
        <v>93.94</v>
      </c>
    </row>
    <row r="533" spans="1:8" ht="14.25" customHeight="1" x14ac:dyDescent="0.25">
      <c r="A533" s="23" t="s">
        <v>515</v>
      </c>
      <c r="B533" s="23" t="s">
        <v>84</v>
      </c>
      <c r="C533" s="23" t="s">
        <v>506</v>
      </c>
      <c r="D533" s="24" t="str">
        <f>VLOOKUP(C533,teams_owners!A:B,2,FALSE)</f>
        <v>Adam Wilko</v>
      </c>
      <c r="E533" s="28">
        <v>182.42</v>
      </c>
      <c r="F533" s="23" t="s">
        <v>78</v>
      </c>
      <c r="G533" s="24" t="str">
        <f>VLOOKUP(F533,teams_owners!A:B,2,FALSE)</f>
        <v>Luc Chignell</v>
      </c>
      <c r="H533" s="28">
        <v>134.94</v>
      </c>
    </row>
    <row r="534" spans="1:8" ht="14.25" customHeight="1" x14ac:dyDescent="0.25">
      <c r="A534" s="23" t="s">
        <v>515</v>
      </c>
      <c r="B534" s="23" t="s">
        <v>39</v>
      </c>
      <c r="C534" s="23" t="s">
        <v>501</v>
      </c>
      <c r="D534" s="24" t="str">
        <f>VLOOKUP(C534,teams_owners!A:B,2,FALSE)</f>
        <v>Rob Taylor</v>
      </c>
      <c r="E534" s="28">
        <v>120.64</v>
      </c>
      <c r="F534" s="23" t="s">
        <v>514</v>
      </c>
      <c r="G534" s="24" t="str">
        <f>VLOOKUP(F534,teams_owners!A:B,2,FALSE)</f>
        <v>Dan Austin</v>
      </c>
      <c r="H534" s="28">
        <v>148.08000000000001</v>
      </c>
    </row>
    <row r="535" spans="1:8" ht="14.25" customHeight="1" x14ac:dyDescent="0.25">
      <c r="A535" s="23" t="s">
        <v>515</v>
      </c>
      <c r="B535" s="23" t="s">
        <v>39</v>
      </c>
      <c r="C535" s="23" t="s">
        <v>67</v>
      </c>
      <c r="D535" s="24" t="str">
        <f>VLOOKUP(C535,teams_owners!A:B,2,FALSE)</f>
        <v>Rob Connet</v>
      </c>
      <c r="E535" s="28">
        <v>157.16</v>
      </c>
      <c r="F535" s="23" t="s">
        <v>505</v>
      </c>
      <c r="G535" s="24" t="str">
        <f>VLOOKUP(F535,teams_owners!A:B,2,FALSE)</f>
        <v>Greg Mitchell</v>
      </c>
      <c r="H535" s="28">
        <v>106.3</v>
      </c>
    </row>
    <row r="536" spans="1:8" ht="14.25" customHeight="1" x14ac:dyDescent="0.25">
      <c r="A536" s="23" t="s">
        <v>515</v>
      </c>
      <c r="B536" s="23" t="s">
        <v>39</v>
      </c>
      <c r="C536" s="23" t="s">
        <v>497</v>
      </c>
      <c r="D536" s="24" t="str">
        <f>VLOOKUP(C536,teams_owners!A:B,2,FALSE)</f>
        <v>Rich Andrew</v>
      </c>
      <c r="E536" s="28">
        <v>138.34</v>
      </c>
      <c r="F536" s="23" t="s">
        <v>29</v>
      </c>
      <c r="G536" s="24" t="str">
        <f>VLOOKUP(F536,teams_owners!A:B,2,FALSE)</f>
        <v>Joe Wilko</v>
      </c>
      <c r="H536" s="28">
        <v>105.02</v>
      </c>
    </row>
    <row r="537" spans="1:8" ht="14.25" customHeight="1" x14ac:dyDescent="0.25">
      <c r="A537" s="23" t="s">
        <v>515</v>
      </c>
      <c r="B537" s="23" t="s">
        <v>39</v>
      </c>
      <c r="C537" s="23" t="s">
        <v>506</v>
      </c>
      <c r="D537" s="24" t="str">
        <f>VLOOKUP(C537,teams_owners!A:B,2,FALSE)</f>
        <v>Adam Wilko</v>
      </c>
      <c r="E537" s="28">
        <v>131.84</v>
      </c>
      <c r="F537" s="23" t="s">
        <v>83</v>
      </c>
      <c r="G537" s="24" t="str">
        <f>VLOOKUP(F537,teams_owners!A:B,2,FALSE)</f>
        <v>Nathan</v>
      </c>
      <c r="H537" s="28">
        <v>115.62</v>
      </c>
    </row>
    <row r="538" spans="1:8" ht="14.25" customHeight="1" x14ac:dyDescent="0.25">
      <c r="A538" s="23" t="s">
        <v>515</v>
      </c>
      <c r="B538" s="23" t="s">
        <v>39</v>
      </c>
      <c r="C538" s="23" t="s">
        <v>50</v>
      </c>
      <c r="D538" s="24" t="str">
        <f>VLOOKUP(C538,teams_owners!A:B,2,FALSE)</f>
        <v>Fiona Kerry</v>
      </c>
      <c r="E538" s="28">
        <v>121.72</v>
      </c>
      <c r="F538" s="23" t="s">
        <v>78</v>
      </c>
      <c r="G538" s="24" t="str">
        <f>VLOOKUP(F538,teams_owners!A:B,2,FALSE)</f>
        <v>Luc Chignell</v>
      </c>
      <c r="H538" s="28">
        <v>117.4</v>
      </c>
    </row>
    <row r="539" spans="1:8" ht="14.25" customHeight="1" x14ac:dyDescent="0.25">
      <c r="A539" s="23" t="s">
        <v>515</v>
      </c>
      <c r="B539" s="23" t="s">
        <v>62</v>
      </c>
      <c r="C539" s="23" t="s">
        <v>501</v>
      </c>
      <c r="D539" s="24" t="str">
        <f>VLOOKUP(C539,teams_owners!A:B,2,FALSE)</f>
        <v>Rob Taylor</v>
      </c>
      <c r="E539" s="28">
        <v>132.30000000000001</v>
      </c>
      <c r="F539" s="23" t="s">
        <v>505</v>
      </c>
      <c r="G539" s="24" t="str">
        <f>VLOOKUP(F539,teams_owners!A:B,2,FALSE)</f>
        <v>Greg Mitchell</v>
      </c>
      <c r="H539" s="28">
        <v>184.96</v>
      </c>
    </row>
    <row r="540" spans="1:8" ht="14.25" customHeight="1" x14ac:dyDescent="0.25">
      <c r="A540" s="23" t="s">
        <v>515</v>
      </c>
      <c r="B540" s="23" t="s">
        <v>62</v>
      </c>
      <c r="C540" s="23" t="s">
        <v>67</v>
      </c>
      <c r="D540" s="24" t="str">
        <f>VLOOKUP(C540,teams_owners!A:B,2,FALSE)</f>
        <v>Rob Connet</v>
      </c>
      <c r="E540" s="28">
        <v>135.12</v>
      </c>
      <c r="F540" s="23" t="s">
        <v>514</v>
      </c>
      <c r="G540" s="24" t="str">
        <f>VLOOKUP(F540,teams_owners!A:B,2,FALSE)</f>
        <v>Dan Austin</v>
      </c>
      <c r="H540" s="29">
        <v>126.94</v>
      </c>
    </row>
    <row r="541" spans="1:8" ht="14.25" customHeight="1" x14ac:dyDescent="0.25">
      <c r="A541" s="23" t="s">
        <v>515</v>
      </c>
      <c r="B541" s="23" t="s">
        <v>62</v>
      </c>
      <c r="C541" s="23" t="s">
        <v>50</v>
      </c>
      <c r="D541" s="24" t="str">
        <f>VLOOKUP(C541,teams_owners!A:B,2,FALSE)</f>
        <v>Fiona Kerry</v>
      </c>
      <c r="E541" s="28">
        <v>135.08000000000001</v>
      </c>
      <c r="F541" s="23" t="s">
        <v>29</v>
      </c>
      <c r="G541" s="24" t="str">
        <f>VLOOKUP(F541,teams_owners!A:B,2,FALSE)</f>
        <v>Joe Wilko</v>
      </c>
      <c r="H541" s="29">
        <v>131.02000000000001</v>
      </c>
    </row>
    <row r="542" spans="1:8" ht="14.25" customHeight="1" x14ac:dyDescent="0.25">
      <c r="A542" s="23" t="s">
        <v>515</v>
      </c>
      <c r="B542" s="23" t="s">
        <v>62</v>
      </c>
      <c r="C542" s="23" t="s">
        <v>78</v>
      </c>
      <c r="D542" s="24" t="str">
        <f>VLOOKUP(C542,teams_owners!A:B,2,FALSE)</f>
        <v>Luc Chignell</v>
      </c>
      <c r="E542" s="28">
        <v>135.18</v>
      </c>
      <c r="F542" s="23" t="s">
        <v>83</v>
      </c>
      <c r="G542" s="24" t="str">
        <f>VLOOKUP(F542,teams_owners!A:B,2,FALSE)</f>
        <v>Nathan</v>
      </c>
      <c r="H542" s="29">
        <v>145.46</v>
      </c>
    </row>
    <row r="543" spans="1:8" ht="14.25" customHeight="1" x14ac:dyDescent="0.25">
      <c r="A543" s="23" t="s">
        <v>515</v>
      </c>
      <c r="B543" s="23" t="s">
        <v>62</v>
      </c>
      <c r="C543" s="23" t="s">
        <v>497</v>
      </c>
      <c r="D543" s="24" t="str">
        <f>VLOOKUP(C543,teams_owners!A:B,2,FALSE)</f>
        <v>Rich Andrew</v>
      </c>
      <c r="E543" s="28">
        <v>124.08</v>
      </c>
      <c r="F543" s="23" t="s">
        <v>506</v>
      </c>
      <c r="G543" s="24" t="str">
        <f>VLOOKUP(F543,teams_owners!A:B,2,FALSE)</f>
        <v>Adam Wilko</v>
      </c>
      <c r="H543" s="29">
        <v>121.6</v>
      </c>
    </row>
    <row r="544" spans="1:8" ht="14.25" customHeight="1" x14ac:dyDescent="0.25">
      <c r="A544" s="23" t="s">
        <v>515</v>
      </c>
      <c r="B544" s="23" t="s">
        <v>70</v>
      </c>
      <c r="C544" s="23" t="s">
        <v>501</v>
      </c>
      <c r="D544" s="24" t="str">
        <f>VLOOKUP(C544,teams_owners!A:B,2,FALSE)</f>
        <v>Rob Taylor</v>
      </c>
      <c r="E544" s="28">
        <v>138.47999999999999</v>
      </c>
      <c r="F544" s="23" t="s">
        <v>497</v>
      </c>
      <c r="G544" s="24" t="str">
        <f>VLOOKUP(F544,teams_owners!A:B,2,FALSE)</f>
        <v>Rich Andrew</v>
      </c>
      <c r="H544" s="29">
        <v>154.24</v>
      </c>
    </row>
    <row r="545" spans="1:8" ht="14.25" customHeight="1" x14ac:dyDescent="0.25">
      <c r="A545" s="23" t="s">
        <v>515</v>
      </c>
      <c r="B545" s="23" t="s">
        <v>70</v>
      </c>
      <c r="C545" s="23" t="s">
        <v>29</v>
      </c>
      <c r="D545" s="24" t="str">
        <f>VLOOKUP(C545,teams_owners!A:B,2,FALSE)</f>
        <v>Joe Wilko</v>
      </c>
      <c r="E545" s="28">
        <v>110.02</v>
      </c>
      <c r="F545" s="23" t="s">
        <v>514</v>
      </c>
      <c r="G545" s="24" t="str">
        <f>VLOOKUP(F545,teams_owners!A:B,2,FALSE)</f>
        <v>Dan Austin</v>
      </c>
      <c r="H545" s="29">
        <v>144.18</v>
      </c>
    </row>
    <row r="546" spans="1:8" ht="14.25" customHeight="1" x14ac:dyDescent="0.25">
      <c r="A546" s="23" t="s">
        <v>515</v>
      </c>
      <c r="B546" s="23" t="s">
        <v>70</v>
      </c>
      <c r="C546" s="23" t="s">
        <v>505</v>
      </c>
      <c r="D546" s="24" t="str">
        <f>VLOOKUP(C546,teams_owners!A:B,2,FALSE)</f>
        <v>Greg Mitchell</v>
      </c>
      <c r="E546" s="28">
        <v>170.06</v>
      </c>
      <c r="F546" s="23" t="s">
        <v>83</v>
      </c>
      <c r="G546" s="24" t="str">
        <f>VLOOKUP(F546,teams_owners!A:B,2,FALSE)</f>
        <v>Nathan</v>
      </c>
      <c r="H546" s="29">
        <v>93.34</v>
      </c>
    </row>
    <row r="547" spans="1:8" ht="14.25" customHeight="1" x14ac:dyDescent="0.25">
      <c r="A547" s="23" t="s">
        <v>515</v>
      </c>
      <c r="B547" s="23" t="s">
        <v>70</v>
      </c>
      <c r="C547" s="23" t="s">
        <v>67</v>
      </c>
      <c r="D547" s="24" t="str">
        <f>VLOOKUP(C547,teams_owners!A:B,2,FALSE)</f>
        <v>Rob Connet</v>
      </c>
      <c r="E547" s="28">
        <v>129.94</v>
      </c>
      <c r="F547" s="23" t="s">
        <v>78</v>
      </c>
      <c r="G547" s="24" t="str">
        <f>VLOOKUP(F547,teams_owners!A:B,2,FALSE)</f>
        <v>Luc Chignell</v>
      </c>
      <c r="H547" s="29">
        <v>164</v>
      </c>
    </row>
    <row r="548" spans="1:8" ht="14.25" customHeight="1" x14ac:dyDescent="0.25">
      <c r="A548" s="23" t="s">
        <v>515</v>
      </c>
      <c r="B548" s="23" t="s">
        <v>70</v>
      </c>
      <c r="C548" s="23" t="s">
        <v>50</v>
      </c>
      <c r="D548" s="24" t="str">
        <f>VLOOKUP(C548,teams_owners!A:B,2,FALSE)</f>
        <v>Fiona Kerry</v>
      </c>
      <c r="E548" s="28">
        <v>109.66</v>
      </c>
      <c r="F548" s="23" t="s">
        <v>506</v>
      </c>
      <c r="G548" s="24" t="str">
        <f>VLOOKUP(F548,teams_owners!A:B,2,FALSE)</f>
        <v>Adam Wilko</v>
      </c>
      <c r="H548" s="29">
        <v>142.4</v>
      </c>
    </row>
    <row r="549" spans="1:8" ht="14.25" customHeight="1" x14ac:dyDescent="0.25">
      <c r="A549" s="23" t="s">
        <v>515</v>
      </c>
      <c r="B549" s="23" t="s">
        <v>507</v>
      </c>
      <c r="C549" s="23" t="s">
        <v>506</v>
      </c>
      <c r="D549" s="24" t="str">
        <f>VLOOKUP(C549,teams_owners!A:B,2,FALSE)</f>
        <v>Adam Wilko</v>
      </c>
      <c r="E549" s="28">
        <v>102.22</v>
      </c>
      <c r="F549" s="23" t="s">
        <v>67</v>
      </c>
      <c r="G549" s="24" t="str">
        <f>VLOOKUP(F549,teams_owners!A:B,2,FALSE)</f>
        <v>Rob Connet</v>
      </c>
      <c r="H549" s="29">
        <v>125.18</v>
      </c>
    </row>
    <row r="550" spans="1:8" ht="14.25" customHeight="1" x14ac:dyDescent="0.25">
      <c r="A550" s="23" t="s">
        <v>515</v>
      </c>
      <c r="B550" s="23" t="s">
        <v>507</v>
      </c>
      <c r="C550" s="23" t="s">
        <v>514</v>
      </c>
      <c r="D550" s="24" t="str">
        <f>VLOOKUP(C550,teams_owners!A:B,2,FALSE)</f>
        <v>Dan Austin</v>
      </c>
      <c r="E550" s="28">
        <v>170.76</v>
      </c>
      <c r="F550" s="23" t="s">
        <v>78</v>
      </c>
      <c r="G550" s="24" t="str">
        <f>VLOOKUP(F550,teams_owners!A:B,2,FALSE)</f>
        <v>Luc Chignell</v>
      </c>
      <c r="H550" s="29">
        <v>160.02000000000001</v>
      </c>
    </row>
    <row r="551" spans="1:8" ht="14.25" customHeight="1" x14ac:dyDescent="0.25">
      <c r="A551" s="23" t="s">
        <v>515</v>
      </c>
      <c r="B551" s="23" t="s">
        <v>516</v>
      </c>
      <c r="C551" s="23" t="s">
        <v>497</v>
      </c>
      <c r="D551" s="24" t="str">
        <f>VLOOKUP(C551,teams_owners!A:B,2,FALSE)</f>
        <v>Rich Andrew</v>
      </c>
      <c r="E551" s="28">
        <v>168.24</v>
      </c>
      <c r="F551" s="23" t="s">
        <v>67</v>
      </c>
      <c r="G551" s="24" t="str">
        <f>VLOOKUP(F551,teams_owners!A:B,2,FALSE)</f>
        <v>Rob Connet</v>
      </c>
      <c r="H551" s="29">
        <v>127.56</v>
      </c>
    </row>
    <row r="552" spans="1:8" ht="14.25" customHeight="1" x14ac:dyDescent="0.25">
      <c r="A552" s="23" t="s">
        <v>515</v>
      </c>
      <c r="B552" s="23" t="s">
        <v>516</v>
      </c>
      <c r="C552" s="23" t="s">
        <v>505</v>
      </c>
      <c r="D552" s="24" t="str">
        <f>VLOOKUP(C552,teams_owners!A:B,2,FALSE)</f>
        <v>Greg Mitchell</v>
      </c>
      <c r="E552" s="28">
        <v>206.62</v>
      </c>
      <c r="F552" s="23" t="s">
        <v>514</v>
      </c>
      <c r="G552" s="24" t="str">
        <f>VLOOKUP(F552,teams_owners!A:B,2,FALSE)</f>
        <v>Dan Austin</v>
      </c>
      <c r="H552" s="29">
        <v>154.62</v>
      </c>
    </row>
    <row r="553" spans="1:8" ht="14.25" customHeight="1" x14ac:dyDescent="0.25">
      <c r="A553" s="23" t="s">
        <v>515</v>
      </c>
      <c r="B553" s="23" t="s">
        <v>81</v>
      </c>
      <c r="C553" s="23" t="s">
        <v>506</v>
      </c>
      <c r="D553" s="24" t="str">
        <f>VLOOKUP(C553,teams_owners!A:B,2,FALSE)</f>
        <v>Adam Wilko</v>
      </c>
      <c r="E553" s="28">
        <v>94.6</v>
      </c>
      <c r="F553" s="23" t="s">
        <v>78</v>
      </c>
      <c r="G553" s="24" t="str">
        <f>VLOOKUP(F553,teams_owners!A:B,2,FALSE)</f>
        <v>Luc Chignell</v>
      </c>
      <c r="H553" s="29">
        <v>126.32</v>
      </c>
    </row>
    <row r="554" spans="1:8" ht="14.25" customHeight="1" x14ac:dyDescent="0.25">
      <c r="A554" s="23" t="s">
        <v>515</v>
      </c>
      <c r="B554" s="23" t="s">
        <v>31</v>
      </c>
      <c r="C554" s="23" t="s">
        <v>67</v>
      </c>
      <c r="D554" s="24" t="str">
        <f>VLOOKUP(C554,teams_owners!A:B,2,FALSE)</f>
        <v>Rob Connet</v>
      </c>
      <c r="E554" s="28">
        <v>163.92</v>
      </c>
      <c r="F554" s="23" t="s">
        <v>514</v>
      </c>
      <c r="G554" s="24" t="str">
        <f>VLOOKUP(F554,teams_owners!A:B,2,FALSE)</f>
        <v>Dan Austin</v>
      </c>
      <c r="H554" s="29">
        <v>158.18</v>
      </c>
    </row>
    <row r="555" spans="1:8" ht="14.25" customHeight="1" x14ac:dyDescent="0.25">
      <c r="A555" s="23" t="s">
        <v>515</v>
      </c>
      <c r="B555" s="23" t="s">
        <v>35</v>
      </c>
      <c r="C555" s="23" t="s">
        <v>497</v>
      </c>
      <c r="D555" s="24" t="str">
        <f>VLOOKUP(C555,teams_owners!A:B,2,FALSE)</f>
        <v>Rich Andrew</v>
      </c>
      <c r="E555" s="28">
        <v>165.02</v>
      </c>
      <c r="F555" s="23" t="s">
        <v>505</v>
      </c>
      <c r="G555" s="24" t="str">
        <f>VLOOKUP(F555,teams_owners!A:B,2,FALSE)</f>
        <v>Greg Mitchell</v>
      </c>
      <c r="H555" s="29">
        <v>114.82</v>
      </c>
    </row>
    <row r="556" spans="1:8" ht="14.25" customHeight="1" x14ac:dyDescent="0.25">
      <c r="A556" s="23" t="s">
        <v>515</v>
      </c>
      <c r="B556" s="23" t="s">
        <v>507</v>
      </c>
      <c r="C556" s="23" t="s">
        <v>29</v>
      </c>
      <c r="D556" s="24" t="str">
        <f>VLOOKUP(C556,teams_owners!A:B,2,FALSE)</f>
        <v>Joe Wilko</v>
      </c>
      <c r="E556" s="28">
        <v>96.76</v>
      </c>
      <c r="F556" s="23" t="s">
        <v>50</v>
      </c>
      <c r="G556" s="24" t="str">
        <f>VLOOKUP(F556,teams_owners!A:B,2,FALSE)</f>
        <v>Fiona Kerry</v>
      </c>
      <c r="H556" s="29">
        <v>120.58</v>
      </c>
    </row>
    <row r="557" spans="1:8" ht="14.25" customHeight="1" x14ac:dyDescent="0.25">
      <c r="A557" s="23" t="s">
        <v>515</v>
      </c>
      <c r="B557" s="23" t="s">
        <v>507</v>
      </c>
      <c r="C557" s="23" t="s">
        <v>501</v>
      </c>
      <c r="D557" s="24" t="str">
        <f>VLOOKUP(C557,teams_owners!A:B,2,FALSE)</f>
        <v>Rob Taylor</v>
      </c>
      <c r="E557" s="28">
        <v>67.900000000000006</v>
      </c>
      <c r="F557" s="23" t="s">
        <v>83</v>
      </c>
      <c r="G557" s="24" t="str">
        <f>VLOOKUP(F557,teams_owners!A:B,2,FALSE)</f>
        <v>Nathan</v>
      </c>
      <c r="H557" s="29">
        <v>130.91999999999999</v>
      </c>
    </row>
    <row r="558" spans="1:8" ht="14.25" customHeight="1" x14ac:dyDescent="0.25">
      <c r="A558" s="23" t="s">
        <v>515</v>
      </c>
      <c r="B558" s="23" t="s">
        <v>20</v>
      </c>
      <c r="C558" s="23" t="s">
        <v>50</v>
      </c>
      <c r="D558" s="24" t="str">
        <f>VLOOKUP(C558,teams_owners!A:B,2,FALSE)</f>
        <v>Fiona Kerry</v>
      </c>
      <c r="E558" s="28">
        <v>120.74</v>
      </c>
      <c r="F558" s="23" t="s">
        <v>83</v>
      </c>
      <c r="G558" s="24" t="str">
        <f>VLOOKUP(F558,teams_owners!A:B,2,FALSE)</f>
        <v>Nathan</v>
      </c>
      <c r="H558" s="29">
        <v>74.040000000000006</v>
      </c>
    </row>
    <row r="559" spans="1:8" ht="14.25" customHeight="1" x14ac:dyDescent="0.25">
      <c r="A559" s="23" t="s">
        <v>515</v>
      </c>
      <c r="B559" s="23" t="s">
        <v>72</v>
      </c>
      <c r="C559" s="23" t="s">
        <v>29</v>
      </c>
      <c r="D559" s="24" t="str">
        <f>VLOOKUP(C559,teams_owners!A:B,2,FALSE)</f>
        <v>Joe Wilko</v>
      </c>
      <c r="E559" s="28">
        <v>130.32</v>
      </c>
      <c r="F559" s="23" t="s">
        <v>501</v>
      </c>
      <c r="G559" s="24" t="str">
        <f>VLOOKUP(F559,teams_owners!A:B,2,FALSE)</f>
        <v>Rob Taylor</v>
      </c>
      <c r="H559" s="29">
        <v>61.28</v>
      </c>
    </row>
    <row r="560" spans="1:8" ht="14.25" customHeight="1" x14ac:dyDescent="0.25">
      <c r="A560" s="23" t="s">
        <v>517</v>
      </c>
      <c r="B560" s="23" t="s">
        <v>8</v>
      </c>
      <c r="C560" s="23" t="s">
        <v>502</v>
      </c>
      <c r="D560" s="24" t="str">
        <f>VLOOKUP(C560,teams_owners!A:B,2,FALSE)</f>
        <v>Rob Taylor</v>
      </c>
      <c r="E560" s="28">
        <v>92.56</v>
      </c>
      <c r="F560" s="23" t="s">
        <v>505</v>
      </c>
      <c r="G560" s="24" t="str">
        <f>VLOOKUP(F560,teams_owners!A:B,2,FALSE)</f>
        <v>Greg Mitchell</v>
      </c>
      <c r="H560" s="29">
        <v>187.42</v>
      </c>
    </row>
    <row r="561" spans="1:8" ht="14.25" customHeight="1" x14ac:dyDescent="0.25">
      <c r="A561" s="23" t="s">
        <v>517</v>
      </c>
      <c r="B561" s="23" t="s">
        <v>8</v>
      </c>
      <c r="C561" s="23" t="s">
        <v>50</v>
      </c>
      <c r="D561" s="24" t="str">
        <f>VLOOKUP(C561,teams_owners!A:B,2,FALSE)</f>
        <v>Fiona Kerry</v>
      </c>
      <c r="E561" s="28">
        <v>128.1</v>
      </c>
      <c r="F561" s="23" t="s">
        <v>78</v>
      </c>
      <c r="G561" s="24" t="str">
        <f>VLOOKUP(F561,teams_owners!A:B,2,FALSE)</f>
        <v>Luc Chignell</v>
      </c>
      <c r="H561" s="29">
        <v>157.19999999999999</v>
      </c>
    </row>
    <row r="562" spans="1:8" ht="14.25" customHeight="1" x14ac:dyDescent="0.25">
      <c r="A562" s="23" t="s">
        <v>517</v>
      </c>
      <c r="B562" s="23" t="s">
        <v>8</v>
      </c>
      <c r="C562" s="23" t="s">
        <v>29</v>
      </c>
      <c r="D562" s="24" t="str">
        <f>VLOOKUP(C562,teams_owners!A:B,2,FALSE)</f>
        <v>Joe Wilko</v>
      </c>
      <c r="E562" s="28">
        <v>100.02</v>
      </c>
      <c r="F562" s="23" t="s">
        <v>83</v>
      </c>
      <c r="G562" s="24" t="str">
        <f>VLOOKUP(F562,teams_owners!A:B,2,FALSE)</f>
        <v>Nathan</v>
      </c>
      <c r="H562" s="29">
        <v>119.44</v>
      </c>
    </row>
    <row r="563" spans="1:8" ht="14.25" customHeight="1" x14ac:dyDescent="0.25">
      <c r="A563" s="23" t="s">
        <v>517</v>
      </c>
      <c r="B563" s="23" t="s">
        <v>8</v>
      </c>
      <c r="C563" s="23" t="s">
        <v>497</v>
      </c>
      <c r="D563" s="24" t="str">
        <f>VLOOKUP(C563,teams_owners!A:B,2,FALSE)</f>
        <v>Rich Andrew</v>
      </c>
      <c r="E563" s="28">
        <v>138.41999999999999</v>
      </c>
      <c r="F563" s="23" t="s">
        <v>514</v>
      </c>
      <c r="G563" s="24" t="str">
        <f>VLOOKUP(F563,teams_owners!A:B,2,FALSE)</f>
        <v>Dan Austin</v>
      </c>
      <c r="H563" s="29">
        <v>94.58</v>
      </c>
    </row>
    <row r="564" spans="1:8" ht="14.25" customHeight="1" x14ac:dyDescent="0.25">
      <c r="A564" s="23" t="s">
        <v>517</v>
      </c>
      <c r="B564" s="23" t="s">
        <v>8</v>
      </c>
      <c r="C564" s="23" t="s">
        <v>506</v>
      </c>
      <c r="D564" s="24" t="str">
        <f>VLOOKUP(C564,teams_owners!A:B,2,FALSE)</f>
        <v>Adam Wilko</v>
      </c>
      <c r="E564" s="28">
        <v>132.1</v>
      </c>
      <c r="F564" s="23" t="s">
        <v>67</v>
      </c>
      <c r="G564" s="24" t="str">
        <f>VLOOKUP(F564,teams_owners!A:B,2,FALSE)</f>
        <v>Rob Connet</v>
      </c>
      <c r="H564" s="29">
        <v>136.06</v>
      </c>
    </row>
    <row r="565" spans="1:8" ht="14.25" customHeight="1" x14ac:dyDescent="0.25">
      <c r="A565" s="23" t="s">
        <v>517</v>
      </c>
      <c r="B565" s="23" t="s">
        <v>6</v>
      </c>
      <c r="C565" s="23" t="s">
        <v>502</v>
      </c>
      <c r="D565" s="24" t="str">
        <f>VLOOKUP(C565,teams_owners!A:B,2,FALSE)</f>
        <v>Rob Taylor</v>
      </c>
      <c r="E565" s="28">
        <v>99.58</v>
      </c>
      <c r="F565" s="23" t="s">
        <v>497</v>
      </c>
      <c r="G565" s="24" t="str">
        <f>VLOOKUP(F565,teams_owners!A:B,2,FALSE)</f>
        <v>Rich Andrew</v>
      </c>
      <c r="H565" s="29">
        <v>102.26</v>
      </c>
    </row>
    <row r="566" spans="1:8" ht="14.25" customHeight="1" x14ac:dyDescent="0.25">
      <c r="A566" s="23" t="s">
        <v>517</v>
      </c>
      <c r="B566" s="23" t="s">
        <v>6</v>
      </c>
      <c r="C566" s="23" t="s">
        <v>78</v>
      </c>
      <c r="D566" s="24" t="str">
        <f>VLOOKUP(C566,teams_owners!A:B,2,FALSE)</f>
        <v>Luc Chignell</v>
      </c>
      <c r="E566" s="28">
        <v>168.74</v>
      </c>
      <c r="F566" s="23" t="s">
        <v>83</v>
      </c>
      <c r="G566" s="24" t="str">
        <f>VLOOKUP(F566,teams_owners!A:B,2,FALSE)</f>
        <v>Nathan</v>
      </c>
      <c r="H566" s="29">
        <v>117.1</v>
      </c>
    </row>
    <row r="567" spans="1:8" ht="14.25" customHeight="1" x14ac:dyDescent="0.25">
      <c r="A567" s="23" t="s">
        <v>517</v>
      </c>
      <c r="B567" s="23" t="s">
        <v>6</v>
      </c>
      <c r="C567" s="23" t="s">
        <v>50</v>
      </c>
      <c r="D567" s="24" t="str">
        <f>VLOOKUP(C567,teams_owners!A:B,2,FALSE)</f>
        <v>Fiona Kerry</v>
      </c>
      <c r="E567" s="28">
        <v>155.47999999999999</v>
      </c>
      <c r="F567" s="23" t="s">
        <v>29</v>
      </c>
      <c r="G567" s="24" t="str">
        <f>VLOOKUP(F567,teams_owners!A:B,2,FALSE)</f>
        <v>Joe Wilko</v>
      </c>
      <c r="H567" s="29">
        <v>161.91999999999999</v>
      </c>
    </row>
    <row r="568" spans="1:8" ht="14.25" customHeight="1" x14ac:dyDescent="0.25">
      <c r="A568" s="23" t="s">
        <v>517</v>
      </c>
      <c r="B568" s="23" t="s">
        <v>6</v>
      </c>
      <c r="C568" s="23" t="s">
        <v>506</v>
      </c>
      <c r="D568" s="24" t="str">
        <f>VLOOKUP(C568,teams_owners!A:B,2,FALSE)</f>
        <v>Adam Wilko</v>
      </c>
      <c r="E568" s="28">
        <v>99.4</v>
      </c>
      <c r="F568" s="23" t="s">
        <v>505</v>
      </c>
      <c r="G568" s="24" t="str">
        <f>VLOOKUP(F568,teams_owners!A:B,2,FALSE)</f>
        <v>Greg Mitchell</v>
      </c>
      <c r="H568" s="29">
        <v>99.54</v>
      </c>
    </row>
    <row r="569" spans="1:8" ht="14.25" customHeight="1" x14ac:dyDescent="0.25">
      <c r="A569" s="23" t="s">
        <v>517</v>
      </c>
      <c r="B569" s="23" t="s">
        <v>6</v>
      </c>
      <c r="C569" s="23" t="s">
        <v>67</v>
      </c>
      <c r="D569" s="24" t="str">
        <f>VLOOKUP(C569,teams_owners!A:B,2,FALSE)</f>
        <v>Rob Connet</v>
      </c>
      <c r="E569" s="28">
        <v>150.72</v>
      </c>
      <c r="F569" s="23" t="s">
        <v>514</v>
      </c>
      <c r="G569" s="24" t="str">
        <f>VLOOKUP(F569,teams_owners!A:B,2,FALSE)</f>
        <v>Dan Austin</v>
      </c>
      <c r="H569" s="29">
        <v>120.72</v>
      </c>
    </row>
    <row r="570" spans="1:8" ht="14.25" customHeight="1" x14ac:dyDescent="0.25">
      <c r="A570" s="23" t="s">
        <v>517</v>
      </c>
      <c r="B570" s="23" t="s">
        <v>57</v>
      </c>
      <c r="C570" s="23" t="s">
        <v>502</v>
      </c>
      <c r="D570" s="24" t="str">
        <f>VLOOKUP(C570,teams_owners!A:B,2,FALSE)</f>
        <v>Rob Taylor</v>
      </c>
      <c r="E570" s="28">
        <v>145.56</v>
      </c>
      <c r="F570" s="23" t="s">
        <v>514</v>
      </c>
      <c r="G570" s="24" t="str">
        <f>VLOOKUP(F570,teams_owners!A:B,2,FALSE)</f>
        <v>Dan Austin</v>
      </c>
      <c r="H570" s="29">
        <v>133.1</v>
      </c>
    </row>
    <row r="571" spans="1:8" ht="14.25" customHeight="1" x14ac:dyDescent="0.25">
      <c r="A571" s="23" t="s">
        <v>517</v>
      </c>
      <c r="B571" s="23" t="s">
        <v>57</v>
      </c>
      <c r="C571" s="23" t="s">
        <v>29</v>
      </c>
      <c r="D571" s="24" t="str">
        <f>VLOOKUP(C571,teams_owners!A:B,2,FALSE)</f>
        <v>Joe Wilko</v>
      </c>
      <c r="E571" s="28">
        <v>106.18</v>
      </c>
      <c r="F571" s="23" t="s">
        <v>78</v>
      </c>
      <c r="G571" s="24" t="str">
        <f>VLOOKUP(F571,teams_owners!A:B,2,FALSE)</f>
        <v>Luc Chignell</v>
      </c>
      <c r="H571" s="29">
        <v>133</v>
      </c>
    </row>
    <row r="572" spans="1:8" ht="14.25" customHeight="1" x14ac:dyDescent="0.25">
      <c r="A572" s="23" t="s">
        <v>517</v>
      </c>
      <c r="B572" s="23" t="s">
        <v>57</v>
      </c>
      <c r="C572" s="23" t="s">
        <v>50</v>
      </c>
      <c r="D572" s="24" t="str">
        <f>VLOOKUP(C572,teams_owners!A:B,2,FALSE)</f>
        <v>Fiona Kerry</v>
      </c>
      <c r="E572" s="28">
        <v>105.82</v>
      </c>
      <c r="F572" s="23" t="s">
        <v>83</v>
      </c>
      <c r="G572" s="24" t="str">
        <f>VLOOKUP(F572,teams_owners!A:B,2,FALSE)</f>
        <v>Nathan</v>
      </c>
      <c r="H572" s="29">
        <v>132.69999999999999</v>
      </c>
    </row>
    <row r="573" spans="1:8" ht="14.25" customHeight="1" x14ac:dyDescent="0.25">
      <c r="A573" s="23" t="s">
        <v>517</v>
      </c>
      <c r="B573" s="23" t="s">
        <v>57</v>
      </c>
      <c r="C573" s="23" t="s">
        <v>67</v>
      </c>
      <c r="D573" s="24" t="str">
        <f>VLOOKUP(C573,teams_owners!A:B,2,FALSE)</f>
        <v>Rob Connet</v>
      </c>
      <c r="E573" s="28">
        <v>142.36000000000001</v>
      </c>
      <c r="F573" s="23" t="s">
        <v>505</v>
      </c>
      <c r="G573" s="24" t="str">
        <f>VLOOKUP(F573,teams_owners!A:B,2,FALSE)</f>
        <v>Greg Mitchell</v>
      </c>
      <c r="H573" s="29">
        <v>142.72</v>
      </c>
    </row>
    <row r="574" spans="1:8" ht="14.25" customHeight="1" x14ac:dyDescent="0.25">
      <c r="A574" s="23" t="s">
        <v>517</v>
      </c>
      <c r="B574" s="23" t="s">
        <v>57</v>
      </c>
      <c r="C574" s="23" t="s">
        <v>497</v>
      </c>
      <c r="D574" s="24" t="str">
        <f>VLOOKUP(C574,teams_owners!A:B,2,FALSE)</f>
        <v>Rich Andrew</v>
      </c>
      <c r="E574" s="28">
        <v>89.38</v>
      </c>
      <c r="F574" s="23" t="s">
        <v>506</v>
      </c>
      <c r="G574" s="24" t="str">
        <f>VLOOKUP(F574,teams_owners!A:B,2,FALSE)</f>
        <v>Adam Wilko</v>
      </c>
      <c r="H574" s="29">
        <v>131.34</v>
      </c>
    </row>
    <row r="575" spans="1:8" ht="14.25" customHeight="1" x14ac:dyDescent="0.25">
      <c r="A575" s="23" t="s">
        <v>517</v>
      </c>
      <c r="B575" s="23" t="s">
        <v>41</v>
      </c>
      <c r="C575" s="23" t="s">
        <v>502</v>
      </c>
      <c r="D575" s="24" t="str">
        <f>VLOOKUP(C575,teams_owners!A:B,2,FALSE)</f>
        <v>Rob Taylor</v>
      </c>
      <c r="E575" s="28">
        <v>131.47999999999999</v>
      </c>
      <c r="F575" s="23" t="s">
        <v>78</v>
      </c>
      <c r="G575" s="24" t="str">
        <f>VLOOKUP(F575,teams_owners!A:B,2,FALSE)</f>
        <v>Luc Chignell</v>
      </c>
      <c r="H575" s="29">
        <v>140.1</v>
      </c>
    </row>
    <row r="576" spans="1:8" ht="14.25" customHeight="1" x14ac:dyDescent="0.25">
      <c r="A576" s="23" t="s">
        <v>517</v>
      </c>
      <c r="B576" s="23" t="s">
        <v>41</v>
      </c>
      <c r="C576" s="23" t="s">
        <v>50</v>
      </c>
      <c r="D576" s="24" t="str">
        <f>VLOOKUP(C576,teams_owners!A:B,2,FALSE)</f>
        <v>Fiona Kerry</v>
      </c>
      <c r="E576" s="28">
        <v>118.72</v>
      </c>
      <c r="F576" s="23" t="s">
        <v>505</v>
      </c>
      <c r="G576" s="24" t="str">
        <f>VLOOKUP(F576,teams_owners!A:B,2,FALSE)</f>
        <v>Greg Mitchell</v>
      </c>
      <c r="H576" s="29">
        <v>156.80000000000001</v>
      </c>
    </row>
    <row r="577" spans="1:8" ht="14.25" customHeight="1" x14ac:dyDescent="0.25">
      <c r="A577" s="23" t="s">
        <v>517</v>
      </c>
      <c r="B577" s="23" t="s">
        <v>41</v>
      </c>
      <c r="C577" s="23" t="s">
        <v>497</v>
      </c>
      <c r="D577" s="24" t="str">
        <f>VLOOKUP(C577,teams_owners!A:B,2,FALSE)</f>
        <v>Rich Andrew</v>
      </c>
      <c r="E577" s="28">
        <v>144.74</v>
      </c>
      <c r="F577" s="23" t="s">
        <v>83</v>
      </c>
      <c r="G577" s="24" t="str">
        <f>VLOOKUP(F577,teams_owners!A:B,2,FALSE)</f>
        <v>Nathan</v>
      </c>
      <c r="H577" s="29">
        <v>134.88</v>
      </c>
    </row>
    <row r="578" spans="1:8" ht="14.25" customHeight="1" x14ac:dyDescent="0.25">
      <c r="A578" s="23" t="s">
        <v>517</v>
      </c>
      <c r="B578" s="23" t="s">
        <v>41</v>
      </c>
      <c r="C578" s="23" t="s">
        <v>67</v>
      </c>
      <c r="D578" s="24" t="str">
        <f>VLOOKUP(C578,teams_owners!A:B,2,FALSE)</f>
        <v>Rob Connet</v>
      </c>
      <c r="E578" s="28">
        <v>146.36000000000001</v>
      </c>
      <c r="F578" s="23" t="s">
        <v>29</v>
      </c>
      <c r="G578" s="24" t="str">
        <f>VLOOKUP(F578,teams_owners!A:B,2,FALSE)</f>
        <v>Joe Wilko</v>
      </c>
      <c r="H578" s="29">
        <v>138.1</v>
      </c>
    </row>
    <row r="579" spans="1:8" ht="14.25" customHeight="1" x14ac:dyDescent="0.25">
      <c r="A579" s="23" t="s">
        <v>517</v>
      </c>
      <c r="B579" s="23" t="s">
        <v>41</v>
      </c>
      <c r="C579" s="23" t="s">
        <v>506</v>
      </c>
      <c r="D579" s="24" t="str">
        <f>VLOOKUP(C579,teams_owners!A:B,2,FALSE)</f>
        <v>Adam Wilko</v>
      </c>
      <c r="E579" s="28">
        <v>157.74</v>
      </c>
      <c r="F579" s="23" t="s">
        <v>514</v>
      </c>
      <c r="G579" s="24" t="str">
        <f>VLOOKUP(F579,teams_owners!A:B,2,FALSE)</f>
        <v>Dan Austin</v>
      </c>
      <c r="H579" s="29">
        <v>67.84</v>
      </c>
    </row>
    <row r="580" spans="1:8" ht="14.25" customHeight="1" x14ac:dyDescent="0.25">
      <c r="A580" s="23" t="s">
        <v>517</v>
      </c>
      <c r="B580" s="23" t="s">
        <v>27</v>
      </c>
      <c r="C580" s="23" t="s">
        <v>502</v>
      </c>
      <c r="D580" s="24" t="str">
        <f>VLOOKUP(C580,teams_owners!A:B,2,FALSE)</f>
        <v>Rob Taylor</v>
      </c>
      <c r="E580" s="28">
        <v>174.54</v>
      </c>
      <c r="F580" s="23" t="s">
        <v>50</v>
      </c>
      <c r="G580" s="24" t="str">
        <f>VLOOKUP(F580,teams_owners!A:B,2,FALSE)</f>
        <v>Fiona Kerry</v>
      </c>
      <c r="H580" s="29">
        <v>117.36</v>
      </c>
    </row>
    <row r="581" spans="1:8" ht="14.25" customHeight="1" x14ac:dyDescent="0.25">
      <c r="A581" s="23" t="s">
        <v>517</v>
      </c>
      <c r="B581" s="23" t="s">
        <v>27</v>
      </c>
      <c r="C581" s="23" t="s">
        <v>505</v>
      </c>
      <c r="D581" s="24" t="str">
        <f>VLOOKUP(C581,teams_owners!A:B,2,FALSE)</f>
        <v>Greg Mitchell</v>
      </c>
      <c r="E581" s="28">
        <v>139.74</v>
      </c>
      <c r="F581" s="23" t="s">
        <v>78</v>
      </c>
      <c r="G581" s="24" t="str">
        <f>VLOOKUP(F581,teams_owners!A:B,2,FALSE)</f>
        <v>Luc Chignell</v>
      </c>
      <c r="H581" s="29">
        <v>151.54</v>
      </c>
    </row>
    <row r="582" spans="1:8" ht="14.25" customHeight="1" x14ac:dyDescent="0.25">
      <c r="A582" s="23" t="s">
        <v>517</v>
      </c>
      <c r="B582" s="23" t="s">
        <v>27</v>
      </c>
      <c r="C582" s="23" t="s">
        <v>514</v>
      </c>
      <c r="D582" s="24" t="str">
        <f>VLOOKUP(C582,teams_owners!A:B,2,FALSE)</f>
        <v>Dan Austin</v>
      </c>
      <c r="E582" s="28">
        <v>108.42</v>
      </c>
      <c r="F582" s="23" t="s">
        <v>83</v>
      </c>
      <c r="G582" s="24" t="str">
        <f>VLOOKUP(F582,teams_owners!A:B,2,FALSE)</f>
        <v>Nathan</v>
      </c>
      <c r="H582" s="29">
        <v>126.44</v>
      </c>
    </row>
    <row r="583" spans="1:8" ht="14.25" customHeight="1" x14ac:dyDescent="0.25">
      <c r="A583" s="23" t="s">
        <v>517</v>
      </c>
      <c r="B583" s="23" t="s">
        <v>27</v>
      </c>
      <c r="C583" s="23" t="s">
        <v>506</v>
      </c>
      <c r="D583" s="24" t="str">
        <f>VLOOKUP(C583,teams_owners!A:B,2,FALSE)</f>
        <v>Adam Wilko</v>
      </c>
      <c r="E583" s="28">
        <v>145.38</v>
      </c>
      <c r="F583" s="23" t="s">
        <v>29</v>
      </c>
      <c r="G583" s="24" t="str">
        <f>VLOOKUP(F583,teams_owners!A:B,2,FALSE)</f>
        <v>Joe Wilko</v>
      </c>
      <c r="H583" s="29">
        <v>88.96</v>
      </c>
    </row>
    <row r="584" spans="1:8" ht="14.25" customHeight="1" x14ac:dyDescent="0.25">
      <c r="A584" s="23" t="s">
        <v>517</v>
      </c>
      <c r="B584" s="23" t="s">
        <v>27</v>
      </c>
      <c r="C584" s="23" t="s">
        <v>497</v>
      </c>
      <c r="D584" s="24" t="str">
        <f>VLOOKUP(C584,teams_owners!A:B,2,FALSE)</f>
        <v>Rich Andrew</v>
      </c>
      <c r="E584" s="28">
        <v>150.62</v>
      </c>
      <c r="F584" s="23" t="s">
        <v>67</v>
      </c>
      <c r="G584" s="24" t="str">
        <f>VLOOKUP(F584,teams_owners!A:B,2,FALSE)</f>
        <v>Rob Connet</v>
      </c>
      <c r="H584" s="29">
        <v>115.2</v>
      </c>
    </row>
    <row r="585" spans="1:8" ht="14.25" customHeight="1" x14ac:dyDescent="0.25">
      <c r="A585" s="23" t="s">
        <v>517</v>
      </c>
      <c r="B585" s="23" t="s">
        <v>46</v>
      </c>
      <c r="C585" s="23" t="s">
        <v>502</v>
      </c>
      <c r="D585" s="24" t="str">
        <f>VLOOKUP(C585,teams_owners!A:B,2,FALSE)</f>
        <v>Rob Taylor</v>
      </c>
      <c r="E585" s="28">
        <v>119.24</v>
      </c>
      <c r="F585" s="23" t="s">
        <v>67</v>
      </c>
      <c r="G585" s="24" t="str">
        <f>VLOOKUP(F585,teams_owners!A:B,2,FALSE)</f>
        <v>Rob Connet</v>
      </c>
      <c r="H585" s="29">
        <v>153.36000000000001</v>
      </c>
    </row>
    <row r="586" spans="1:8" ht="14.25" customHeight="1" x14ac:dyDescent="0.25">
      <c r="A586" s="23" t="s">
        <v>517</v>
      </c>
      <c r="B586" s="23" t="s">
        <v>46</v>
      </c>
      <c r="C586" s="23" t="s">
        <v>497</v>
      </c>
      <c r="D586" s="24" t="str">
        <f>VLOOKUP(C586,teams_owners!A:B,2,FALSE)</f>
        <v>Rich Andrew</v>
      </c>
      <c r="E586" s="28">
        <v>128.22</v>
      </c>
      <c r="F586" s="23" t="s">
        <v>78</v>
      </c>
      <c r="G586" s="24" t="str">
        <f>VLOOKUP(F586,teams_owners!A:B,2,FALSE)</f>
        <v>Luc Chignell</v>
      </c>
      <c r="H586" s="29">
        <v>185.68</v>
      </c>
    </row>
    <row r="587" spans="1:8" ht="14.25" customHeight="1" x14ac:dyDescent="0.25">
      <c r="A587" s="23" t="s">
        <v>517</v>
      </c>
      <c r="B587" s="23" t="s">
        <v>46</v>
      </c>
      <c r="C587" s="23" t="s">
        <v>50</v>
      </c>
      <c r="D587" s="24" t="str">
        <f>VLOOKUP(C587,teams_owners!A:B,2,FALSE)</f>
        <v>Fiona Kerry</v>
      </c>
      <c r="E587" s="28">
        <v>115.84</v>
      </c>
      <c r="F587" s="23" t="s">
        <v>514</v>
      </c>
      <c r="G587" s="24" t="str">
        <f>VLOOKUP(F587,teams_owners!A:B,2,FALSE)</f>
        <v>Dan Austin</v>
      </c>
      <c r="H587" s="29">
        <v>86.32</v>
      </c>
    </row>
    <row r="588" spans="1:8" ht="14.25" customHeight="1" x14ac:dyDescent="0.25">
      <c r="A588" s="23" t="s">
        <v>517</v>
      </c>
      <c r="B588" s="23" t="s">
        <v>46</v>
      </c>
      <c r="C588" s="23" t="s">
        <v>506</v>
      </c>
      <c r="D588" s="24" t="str">
        <f>VLOOKUP(C588,teams_owners!A:B,2,FALSE)</f>
        <v>Adam Wilko</v>
      </c>
      <c r="E588" s="28">
        <v>146.36000000000001</v>
      </c>
      <c r="F588" s="23" t="s">
        <v>83</v>
      </c>
      <c r="G588" s="24" t="str">
        <f>VLOOKUP(F588,teams_owners!A:B,2,FALSE)</f>
        <v>Nathan</v>
      </c>
      <c r="H588" s="29">
        <v>84.98</v>
      </c>
    </row>
    <row r="589" spans="1:8" ht="14.25" customHeight="1" x14ac:dyDescent="0.25">
      <c r="A589" s="23" t="s">
        <v>517</v>
      </c>
      <c r="B589" s="23" t="s">
        <v>46</v>
      </c>
      <c r="C589" s="23" t="s">
        <v>505</v>
      </c>
      <c r="D589" s="24" t="str">
        <f>VLOOKUP(C589,teams_owners!A:B,2,FALSE)</f>
        <v>Greg Mitchell</v>
      </c>
      <c r="E589" s="28">
        <v>132.9</v>
      </c>
      <c r="F589" s="23" t="s">
        <v>29</v>
      </c>
      <c r="G589" s="24" t="str">
        <f>VLOOKUP(F589,teams_owners!A:B,2,FALSE)</f>
        <v>Joe Wilko</v>
      </c>
      <c r="H589" s="29">
        <v>132.94</v>
      </c>
    </row>
    <row r="590" spans="1:8" ht="14.25" customHeight="1" x14ac:dyDescent="0.25">
      <c r="A590" s="23" t="s">
        <v>517</v>
      </c>
      <c r="B590" s="23" t="s">
        <v>54</v>
      </c>
      <c r="C590" s="23" t="s">
        <v>502</v>
      </c>
      <c r="D590" s="24" t="str">
        <f>VLOOKUP(C590,teams_owners!A:B,2,FALSE)</f>
        <v>Rob Taylor</v>
      </c>
      <c r="E590" s="28">
        <v>124.74</v>
      </c>
      <c r="F590" s="23" t="s">
        <v>29</v>
      </c>
      <c r="G590" s="24" t="str">
        <f>VLOOKUP(F590,teams_owners!A:B,2,FALSE)</f>
        <v>Joe Wilko</v>
      </c>
      <c r="H590" s="29">
        <v>109.36</v>
      </c>
    </row>
    <row r="591" spans="1:8" ht="14.25" customHeight="1" x14ac:dyDescent="0.25">
      <c r="A591" s="23" t="s">
        <v>517</v>
      </c>
      <c r="B591" s="23" t="s">
        <v>54</v>
      </c>
      <c r="C591" s="23" t="s">
        <v>514</v>
      </c>
      <c r="D591" s="24" t="str">
        <f>VLOOKUP(C591,teams_owners!A:B,2,FALSE)</f>
        <v>Dan Austin</v>
      </c>
      <c r="E591" s="28">
        <v>76.2</v>
      </c>
      <c r="F591" s="23" t="s">
        <v>78</v>
      </c>
      <c r="G591" s="24" t="str">
        <f>VLOOKUP(F591,teams_owners!A:B,2,FALSE)</f>
        <v>Luc Chignell</v>
      </c>
      <c r="H591" s="29">
        <v>138.97999999999999</v>
      </c>
    </row>
    <row r="592" spans="1:8" ht="14.25" customHeight="1" x14ac:dyDescent="0.25">
      <c r="A592" s="23" t="s">
        <v>517</v>
      </c>
      <c r="B592" s="23" t="s">
        <v>54</v>
      </c>
      <c r="C592" s="23" t="s">
        <v>50</v>
      </c>
      <c r="D592" s="24" t="str">
        <f>VLOOKUP(C592,teams_owners!A:B,2,FALSE)</f>
        <v>Fiona Kerry</v>
      </c>
      <c r="E592" s="28">
        <v>135.84</v>
      </c>
      <c r="F592" s="23" t="s">
        <v>506</v>
      </c>
      <c r="G592" s="24" t="str">
        <f>VLOOKUP(F592,teams_owners!A:B,2,FALSE)</f>
        <v>Adam Wilko</v>
      </c>
      <c r="H592" s="29">
        <v>127.46</v>
      </c>
    </row>
    <row r="593" spans="1:8" ht="14.25" customHeight="1" x14ac:dyDescent="0.25">
      <c r="A593" s="23" t="s">
        <v>517</v>
      </c>
      <c r="B593" s="23" t="s">
        <v>54</v>
      </c>
      <c r="C593" s="23" t="s">
        <v>67</v>
      </c>
      <c r="D593" s="24" t="str">
        <f>VLOOKUP(C593,teams_owners!A:B,2,FALSE)</f>
        <v>Rob Connet</v>
      </c>
      <c r="E593" s="28">
        <v>107.4</v>
      </c>
      <c r="F593" s="23" t="s">
        <v>83</v>
      </c>
      <c r="G593" s="24" t="str">
        <f>VLOOKUP(F593,teams_owners!A:B,2,FALSE)</f>
        <v>Nathan</v>
      </c>
      <c r="H593" s="29">
        <v>135.86000000000001</v>
      </c>
    </row>
    <row r="594" spans="1:8" ht="14.25" customHeight="1" x14ac:dyDescent="0.25">
      <c r="A594" s="23" t="s">
        <v>517</v>
      </c>
      <c r="B594" s="23" t="s">
        <v>54</v>
      </c>
      <c r="C594" s="23" t="s">
        <v>497</v>
      </c>
      <c r="D594" s="24" t="str">
        <f>VLOOKUP(C594,teams_owners!A:B,2,FALSE)</f>
        <v>Rich Andrew</v>
      </c>
      <c r="E594" s="28">
        <v>154.63999999999999</v>
      </c>
      <c r="F594" s="23" t="s">
        <v>505</v>
      </c>
      <c r="G594" s="24" t="str">
        <f>VLOOKUP(F594,teams_owners!A:B,2,FALSE)</f>
        <v>Greg Mitchell</v>
      </c>
      <c r="H594" s="29">
        <v>112.42</v>
      </c>
    </row>
    <row r="595" spans="1:8" ht="14.25" customHeight="1" x14ac:dyDescent="0.25">
      <c r="A595" s="23" t="s">
        <v>517</v>
      </c>
      <c r="B595" s="23" t="s">
        <v>55</v>
      </c>
      <c r="C595" s="23" t="s">
        <v>502</v>
      </c>
      <c r="D595" s="24" t="str">
        <f>VLOOKUP(C595,teams_owners!A:B,2,FALSE)</f>
        <v>Rob Taylor</v>
      </c>
      <c r="E595" s="28">
        <v>144.1</v>
      </c>
      <c r="F595" s="23" t="s">
        <v>83</v>
      </c>
      <c r="G595" s="24" t="str">
        <f>VLOOKUP(F595,teams_owners!A:B,2,FALSE)</f>
        <v>Nathan</v>
      </c>
      <c r="H595" s="29">
        <v>141.54</v>
      </c>
    </row>
    <row r="596" spans="1:8" ht="14.25" customHeight="1" x14ac:dyDescent="0.25">
      <c r="A596" s="23" t="s">
        <v>517</v>
      </c>
      <c r="B596" s="23" t="s">
        <v>55</v>
      </c>
      <c r="C596" s="23" t="s">
        <v>506</v>
      </c>
      <c r="D596" s="24" t="str">
        <f>VLOOKUP(C596,teams_owners!A:B,2,FALSE)</f>
        <v>Adam Wilko</v>
      </c>
      <c r="E596" s="28">
        <v>143.4</v>
      </c>
      <c r="F596" s="23" t="s">
        <v>78</v>
      </c>
      <c r="G596" s="24" t="str">
        <f>VLOOKUP(F596,teams_owners!A:B,2,FALSE)</f>
        <v>Luc Chignell</v>
      </c>
      <c r="H596" s="29">
        <v>167.28</v>
      </c>
    </row>
    <row r="597" spans="1:8" ht="14.25" customHeight="1" x14ac:dyDescent="0.25">
      <c r="A597" s="23" t="s">
        <v>517</v>
      </c>
      <c r="B597" s="23" t="s">
        <v>55</v>
      </c>
      <c r="C597" s="23" t="s">
        <v>50</v>
      </c>
      <c r="D597" s="24" t="str">
        <f>VLOOKUP(C597,teams_owners!A:B,2,FALSE)</f>
        <v>Fiona Kerry</v>
      </c>
      <c r="E597" s="28">
        <v>169.42</v>
      </c>
      <c r="F597" s="23" t="s">
        <v>67</v>
      </c>
      <c r="G597" s="24" t="str">
        <f>VLOOKUP(F597,teams_owners!A:B,2,FALSE)</f>
        <v>Rob Connet</v>
      </c>
      <c r="H597" s="29">
        <v>123.18</v>
      </c>
    </row>
    <row r="598" spans="1:8" ht="14.25" customHeight="1" x14ac:dyDescent="0.25">
      <c r="A598" s="23" t="s">
        <v>517</v>
      </c>
      <c r="B598" s="23" t="s">
        <v>55</v>
      </c>
      <c r="C598" s="23" t="s">
        <v>497</v>
      </c>
      <c r="D598" s="24" t="str">
        <f>VLOOKUP(C598,teams_owners!A:B,2,FALSE)</f>
        <v>Rich Andrew</v>
      </c>
      <c r="E598" s="28">
        <v>128.19999999999999</v>
      </c>
      <c r="F598" s="23" t="s">
        <v>29</v>
      </c>
      <c r="G598" s="24" t="str">
        <f>VLOOKUP(F598,teams_owners!A:B,2,FALSE)</f>
        <v>Joe Wilko</v>
      </c>
      <c r="H598" s="29">
        <v>174.86</v>
      </c>
    </row>
    <row r="599" spans="1:8" ht="14.25" customHeight="1" x14ac:dyDescent="0.25">
      <c r="A599" s="23" t="s">
        <v>517</v>
      </c>
      <c r="B599" s="23" t="s">
        <v>55</v>
      </c>
      <c r="C599" s="23" t="s">
        <v>505</v>
      </c>
      <c r="D599" s="24" t="str">
        <f>VLOOKUP(C599,teams_owners!A:B,2,FALSE)</f>
        <v>Greg Mitchell</v>
      </c>
      <c r="E599" s="28">
        <v>132.52000000000001</v>
      </c>
      <c r="F599" s="23" t="s">
        <v>514</v>
      </c>
      <c r="G599" s="24" t="str">
        <f>VLOOKUP(F599,teams_owners!A:B,2,FALSE)</f>
        <v>Dan Austin</v>
      </c>
      <c r="H599" s="29">
        <v>140.47999999999999</v>
      </c>
    </row>
    <row r="600" spans="1:8" ht="14.25" customHeight="1" x14ac:dyDescent="0.25">
      <c r="A600" s="23" t="s">
        <v>517</v>
      </c>
      <c r="B600" s="23" t="s">
        <v>77</v>
      </c>
      <c r="C600" s="23" t="s">
        <v>502</v>
      </c>
      <c r="D600" s="24" t="str">
        <f>VLOOKUP(C600,teams_owners!A:B,2,FALSE)</f>
        <v>Rob Taylor</v>
      </c>
      <c r="E600" s="28">
        <v>146.62</v>
      </c>
      <c r="F600" s="23" t="s">
        <v>506</v>
      </c>
      <c r="G600" s="24" t="str">
        <f>VLOOKUP(F600,teams_owners!A:B,2,FALSE)</f>
        <v>Adam Wilko</v>
      </c>
      <c r="H600" s="29">
        <v>157.26</v>
      </c>
    </row>
    <row r="601" spans="1:8" ht="14.25" customHeight="1" x14ac:dyDescent="0.25">
      <c r="A601" s="23" t="s">
        <v>517</v>
      </c>
      <c r="B601" s="23" t="s">
        <v>77</v>
      </c>
      <c r="C601" s="23" t="s">
        <v>67</v>
      </c>
      <c r="D601" s="24" t="str">
        <f>VLOOKUP(C601,teams_owners!A:B,2,FALSE)</f>
        <v>Rob Connet</v>
      </c>
      <c r="E601" s="28">
        <v>83.54</v>
      </c>
      <c r="F601" s="23" t="s">
        <v>78</v>
      </c>
      <c r="G601" s="24" t="str">
        <f>VLOOKUP(F601,teams_owners!A:B,2,FALSE)</f>
        <v>Luc Chignell</v>
      </c>
      <c r="H601" s="29">
        <v>147.44</v>
      </c>
    </row>
    <row r="602" spans="1:8" ht="14.25" customHeight="1" x14ac:dyDescent="0.25">
      <c r="A602" s="23" t="s">
        <v>517</v>
      </c>
      <c r="B602" s="23" t="s">
        <v>77</v>
      </c>
      <c r="C602" s="23" t="s">
        <v>497</v>
      </c>
      <c r="D602" s="24" t="str">
        <f>VLOOKUP(C602,teams_owners!A:B,2,FALSE)</f>
        <v>Rich Andrew</v>
      </c>
      <c r="E602" s="28">
        <v>128.6</v>
      </c>
      <c r="F602" s="23" t="s">
        <v>50</v>
      </c>
      <c r="G602" s="24" t="str">
        <f>VLOOKUP(F602,teams_owners!A:B,2,FALSE)</f>
        <v>Fiona Kerry</v>
      </c>
      <c r="H602" s="29">
        <v>133.72</v>
      </c>
    </row>
    <row r="603" spans="1:8" ht="14.25" customHeight="1" x14ac:dyDescent="0.25">
      <c r="A603" s="23" t="s">
        <v>517</v>
      </c>
      <c r="B603" s="23" t="s">
        <v>77</v>
      </c>
      <c r="C603" s="23" t="s">
        <v>505</v>
      </c>
      <c r="D603" s="24" t="str">
        <f>VLOOKUP(C603,teams_owners!A:B,2,FALSE)</f>
        <v>Greg Mitchell</v>
      </c>
      <c r="E603" s="28">
        <v>163.24</v>
      </c>
      <c r="F603" s="23" t="s">
        <v>83</v>
      </c>
      <c r="G603" s="24" t="str">
        <f>VLOOKUP(F603,teams_owners!A:B,2,FALSE)</f>
        <v>Nathan</v>
      </c>
      <c r="H603" s="29">
        <v>116.88</v>
      </c>
    </row>
    <row r="604" spans="1:8" ht="14.25" customHeight="1" x14ac:dyDescent="0.25">
      <c r="A604" s="23" t="s">
        <v>517</v>
      </c>
      <c r="B604" s="23" t="s">
        <v>77</v>
      </c>
      <c r="C604" s="23" t="s">
        <v>29</v>
      </c>
      <c r="D604" s="24" t="str">
        <f>VLOOKUP(C604,teams_owners!A:B,2,FALSE)</f>
        <v>Joe Wilko</v>
      </c>
      <c r="E604" s="28">
        <v>156.02000000000001</v>
      </c>
      <c r="F604" s="23" t="s">
        <v>514</v>
      </c>
      <c r="G604" s="24" t="str">
        <f>VLOOKUP(F604,teams_owners!A:B,2,FALSE)</f>
        <v>Dan Austin</v>
      </c>
      <c r="H604" s="29">
        <v>118.74</v>
      </c>
    </row>
    <row r="605" spans="1:8" ht="14.25" customHeight="1" x14ac:dyDescent="0.25">
      <c r="A605" s="23" t="s">
        <v>517</v>
      </c>
      <c r="B605" s="23" t="s">
        <v>84</v>
      </c>
      <c r="C605" s="23" t="s">
        <v>502</v>
      </c>
      <c r="D605" s="24" t="str">
        <f>VLOOKUP(C605,teams_owners!A:B,2,FALSE)</f>
        <v>Rob Taylor</v>
      </c>
      <c r="E605" s="30">
        <v>165.96</v>
      </c>
      <c r="F605" s="23" t="s">
        <v>505</v>
      </c>
      <c r="G605" s="24" t="str">
        <f>VLOOKUP(F605,teams_owners!A:B,2,FALSE)</f>
        <v>Greg Mitchell</v>
      </c>
      <c r="H605" s="29">
        <v>152.58000000000001</v>
      </c>
    </row>
    <row r="606" spans="1:8" ht="14.25" customHeight="1" x14ac:dyDescent="0.25">
      <c r="A606" s="23" t="s">
        <v>517</v>
      </c>
      <c r="B606" s="23" t="s">
        <v>84</v>
      </c>
      <c r="C606" s="23" t="s">
        <v>50</v>
      </c>
      <c r="D606" s="24" t="str">
        <f>VLOOKUP(C606,teams_owners!A:B,2,FALSE)</f>
        <v>Fiona Kerry</v>
      </c>
      <c r="E606" s="30">
        <v>137.26</v>
      </c>
      <c r="F606" s="23" t="s">
        <v>78</v>
      </c>
      <c r="G606" s="24" t="str">
        <f>VLOOKUP(F606,teams_owners!A:B,2,FALSE)</f>
        <v>Luc Chignell</v>
      </c>
      <c r="H606" s="29">
        <v>101.48</v>
      </c>
    </row>
    <row r="607" spans="1:8" ht="14.25" customHeight="1" x14ac:dyDescent="0.25">
      <c r="A607" s="23" t="s">
        <v>517</v>
      </c>
      <c r="B607" s="23" t="s">
        <v>84</v>
      </c>
      <c r="C607" s="23" t="s">
        <v>29</v>
      </c>
      <c r="D607" s="24" t="str">
        <f>VLOOKUP(C607,teams_owners!A:B,2,FALSE)</f>
        <v>Joe Wilko</v>
      </c>
      <c r="E607" s="30">
        <v>123.04</v>
      </c>
      <c r="F607" s="23" t="s">
        <v>83</v>
      </c>
      <c r="G607" s="24" t="str">
        <f>VLOOKUP(F607,teams_owners!A:B,2,FALSE)</f>
        <v>Nathan</v>
      </c>
      <c r="H607" s="29">
        <v>107.68</v>
      </c>
    </row>
    <row r="608" spans="1:8" ht="14.25" customHeight="1" x14ac:dyDescent="0.25">
      <c r="A608" s="23" t="s">
        <v>517</v>
      </c>
      <c r="B608" s="23" t="s">
        <v>84</v>
      </c>
      <c r="C608" s="23" t="s">
        <v>497</v>
      </c>
      <c r="D608" s="24" t="str">
        <f>VLOOKUP(C608,teams_owners!A:B,2,FALSE)</f>
        <v>Rich Andrew</v>
      </c>
      <c r="E608" s="30">
        <v>125.06</v>
      </c>
      <c r="F608" s="23" t="s">
        <v>514</v>
      </c>
      <c r="G608" s="24" t="str">
        <f>VLOOKUP(F608,teams_owners!A:B,2,FALSE)</f>
        <v>Dan Austin</v>
      </c>
      <c r="H608" s="29">
        <v>112.36</v>
      </c>
    </row>
    <row r="609" spans="1:8" ht="14.25" customHeight="1" x14ac:dyDescent="0.25">
      <c r="A609" s="23" t="s">
        <v>517</v>
      </c>
      <c r="B609" s="23" t="s">
        <v>84</v>
      </c>
      <c r="C609" s="23" t="s">
        <v>506</v>
      </c>
      <c r="D609" s="24" t="str">
        <f>VLOOKUP(C609,teams_owners!A:B,2,FALSE)</f>
        <v>Adam Wilko</v>
      </c>
      <c r="E609" s="30">
        <v>120.7</v>
      </c>
      <c r="F609" s="23" t="s">
        <v>67</v>
      </c>
      <c r="G609" s="24" t="str">
        <f>VLOOKUP(F609,teams_owners!A:B,2,FALSE)</f>
        <v>Rob Connet</v>
      </c>
      <c r="H609" s="29">
        <v>87.84</v>
      </c>
    </row>
    <row r="610" spans="1:8" ht="14.25" customHeight="1" x14ac:dyDescent="0.25">
      <c r="A610" s="23" t="s">
        <v>517</v>
      </c>
      <c r="B610" s="23" t="s">
        <v>39</v>
      </c>
      <c r="C610" s="23" t="s">
        <v>502</v>
      </c>
      <c r="D610" s="24" t="str">
        <f>VLOOKUP(C610,teams_owners!A:B,2,FALSE)</f>
        <v>Rob Taylor</v>
      </c>
      <c r="E610" s="31">
        <v>172.68</v>
      </c>
      <c r="F610" s="23" t="s">
        <v>497</v>
      </c>
      <c r="G610" s="24" t="str">
        <f>VLOOKUP(F610,teams_owners!A:B,2,FALSE)</f>
        <v>Rich Andrew</v>
      </c>
      <c r="H610" s="29">
        <v>85.66</v>
      </c>
    </row>
    <row r="611" spans="1:8" ht="14.25" customHeight="1" x14ac:dyDescent="0.25">
      <c r="A611" s="23" t="s">
        <v>517</v>
      </c>
      <c r="B611" s="23" t="s">
        <v>39</v>
      </c>
      <c r="C611" s="23" t="s">
        <v>78</v>
      </c>
      <c r="D611" s="24" t="str">
        <f>VLOOKUP(C611,teams_owners!A:B,2,FALSE)</f>
        <v>Luc Chignell</v>
      </c>
      <c r="E611" s="31">
        <v>164.52</v>
      </c>
      <c r="F611" s="23" t="s">
        <v>83</v>
      </c>
      <c r="G611" s="24" t="str">
        <f>VLOOKUP(F611,teams_owners!A:B,2,FALSE)</f>
        <v>Nathan</v>
      </c>
      <c r="H611" s="29">
        <v>119.28</v>
      </c>
    </row>
    <row r="612" spans="1:8" ht="14.25" customHeight="1" x14ac:dyDescent="0.25">
      <c r="A612" s="23" t="s">
        <v>517</v>
      </c>
      <c r="B612" s="23" t="s">
        <v>39</v>
      </c>
      <c r="C612" s="23" t="s">
        <v>50</v>
      </c>
      <c r="D612" s="24" t="str">
        <f>VLOOKUP(C612,teams_owners!A:B,2,FALSE)</f>
        <v>Fiona Kerry</v>
      </c>
      <c r="E612" s="31">
        <v>119.98</v>
      </c>
      <c r="F612" s="23" t="s">
        <v>29</v>
      </c>
      <c r="G612" s="24" t="str">
        <f>VLOOKUP(F612,teams_owners!A:B,2,FALSE)</f>
        <v>Joe Wilko</v>
      </c>
      <c r="H612" s="29">
        <v>168.5</v>
      </c>
    </row>
    <row r="613" spans="1:8" ht="14.25" customHeight="1" x14ac:dyDescent="0.25">
      <c r="A613" s="23" t="s">
        <v>517</v>
      </c>
      <c r="B613" s="23" t="s">
        <v>39</v>
      </c>
      <c r="C613" s="23" t="s">
        <v>506</v>
      </c>
      <c r="D613" s="24" t="str">
        <f>VLOOKUP(C613,teams_owners!A:B,2,FALSE)</f>
        <v>Adam Wilko</v>
      </c>
      <c r="E613" s="31">
        <v>168.7</v>
      </c>
      <c r="F613" s="23" t="s">
        <v>505</v>
      </c>
      <c r="G613" s="24" t="str">
        <f>VLOOKUP(F613,teams_owners!A:B,2,FALSE)</f>
        <v>Greg Mitchell</v>
      </c>
      <c r="H613" s="29">
        <v>106.4</v>
      </c>
    </row>
    <row r="614" spans="1:8" ht="14.25" customHeight="1" x14ac:dyDescent="0.25">
      <c r="A614" s="23" t="s">
        <v>517</v>
      </c>
      <c r="B614" s="23" t="s">
        <v>39</v>
      </c>
      <c r="C614" s="23" t="s">
        <v>67</v>
      </c>
      <c r="D614" s="24" t="str">
        <f>VLOOKUP(C614,teams_owners!A:B,2,FALSE)</f>
        <v>Rob Connet</v>
      </c>
      <c r="E614" s="31">
        <v>187.28</v>
      </c>
      <c r="F614" s="23" t="s">
        <v>514</v>
      </c>
      <c r="G614" s="24" t="str">
        <f>VLOOKUP(F614,teams_owners!A:B,2,FALSE)</f>
        <v>Dan Austin</v>
      </c>
      <c r="H614" s="29">
        <v>127.7</v>
      </c>
    </row>
    <row r="615" spans="1:8" ht="14.25" customHeight="1" x14ac:dyDescent="0.25">
      <c r="A615" s="23" t="s">
        <v>517</v>
      </c>
      <c r="B615" s="23" t="s">
        <v>62</v>
      </c>
      <c r="C615" s="23" t="s">
        <v>502</v>
      </c>
      <c r="D615" s="24" t="str">
        <f>VLOOKUP(C615,teams_owners!A:B,2,FALSE)</f>
        <v>Rob Taylor</v>
      </c>
      <c r="E615" s="31">
        <v>126.98</v>
      </c>
      <c r="F615" s="23" t="s">
        <v>514</v>
      </c>
      <c r="G615" s="24" t="str">
        <f>VLOOKUP(F615,teams_owners!A:B,2,FALSE)</f>
        <v>Dan Austin</v>
      </c>
      <c r="H615" s="29">
        <v>118.62</v>
      </c>
    </row>
    <row r="616" spans="1:8" ht="14.25" customHeight="1" x14ac:dyDescent="0.25">
      <c r="A616" s="23" t="s">
        <v>517</v>
      </c>
      <c r="B616" s="23" t="s">
        <v>62</v>
      </c>
      <c r="C616" s="23" t="s">
        <v>29</v>
      </c>
      <c r="D616" s="24" t="str">
        <f>VLOOKUP(C616,teams_owners!A:B,2,FALSE)</f>
        <v>Joe Wilko</v>
      </c>
      <c r="E616" s="31">
        <v>135.22</v>
      </c>
      <c r="F616" s="23" t="s">
        <v>78</v>
      </c>
      <c r="G616" s="24" t="str">
        <f>VLOOKUP(F616,teams_owners!A:B,2,FALSE)</f>
        <v>Luc Chignell</v>
      </c>
      <c r="H616" s="29">
        <v>198.88</v>
      </c>
    </row>
    <row r="617" spans="1:8" ht="14.25" customHeight="1" x14ac:dyDescent="0.25">
      <c r="A617" s="23" t="s">
        <v>517</v>
      </c>
      <c r="B617" s="23" t="s">
        <v>62</v>
      </c>
      <c r="C617" s="23" t="s">
        <v>50</v>
      </c>
      <c r="D617" s="24" t="str">
        <f>VLOOKUP(C617,teams_owners!A:B,2,FALSE)</f>
        <v>Fiona Kerry</v>
      </c>
      <c r="E617" s="31">
        <v>133.82</v>
      </c>
      <c r="F617" s="23" t="s">
        <v>83</v>
      </c>
      <c r="G617" s="24" t="str">
        <f>VLOOKUP(F617,teams_owners!A:B,2,FALSE)</f>
        <v>Nathan</v>
      </c>
      <c r="H617" s="29">
        <v>136.47999999999999</v>
      </c>
    </row>
    <row r="618" spans="1:8" ht="14.25" customHeight="1" x14ac:dyDescent="0.25">
      <c r="A618" s="23" t="s">
        <v>517</v>
      </c>
      <c r="B618" s="23" t="s">
        <v>62</v>
      </c>
      <c r="C618" s="23" t="s">
        <v>67</v>
      </c>
      <c r="D618" s="24" t="str">
        <f>VLOOKUP(C618,teams_owners!A:B,2,FALSE)</f>
        <v>Rob Connet</v>
      </c>
      <c r="E618" s="31">
        <v>103.36</v>
      </c>
      <c r="F618" s="23" t="s">
        <v>505</v>
      </c>
      <c r="G618" s="24" t="str">
        <f>VLOOKUP(F618,teams_owners!A:B,2,FALSE)</f>
        <v>Greg Mitchell</v>
      </c>
      <c r="H618" s="29">
        <v>126.58</v>
      </c>
    </row>
    <row r="619" spans="1:8" ht="14.25" customHeight="1" x14ac:dyDescent="0.25">
      <c r="A619" s="23" t="s">
        <v>517</v>
      </c>
      <c r="B619" s="23" t="s">
        <v>62</v>
      </c>
      <c r="C619" s="23" t="s">
        <v>497</v>
      </c>
      <c r="D619" s="24" t="str">
        <f>VLOOKUP(C619,teams_owners!A:B,2,FALSE)</f>
        <v>Rich Andrew</v>
      </c>
      <c r="E619" s="31">
        <v>160.16</v>
      </c>
      <c r="F619" s="23" t="s">
        <v>506</v>
      </c>
      <c r="G619" s="24" t="str">
        <f>VLOOKUP(F619,teams_owners!A:B,2,FALSE)</f>
        <v>Adam Wilko</v>
      </c>
      <c r="H619" s="29">
        <v>82.9</v>
      </c>
    </row>
    <row r="620" spans="1:8" ht="14.25" customHeight="1" x14ac:dyDescent="0.25">
      <c r="A620" s="23" t="s">
        <v>517</v>
      </c>
      <c r="B620" s="23" t="s">
        <v>70</v>
      </c>
      <c r="C620" s="23" t="s">
        <v>502</v>
      </c>
      <c r="D620" s="24" t="str">
        <f>VLOOKUP(C620,teams_owners!A:B,2,FALSE)</f>
        <v>Rob Taylor</v>
      </c>
      <c r="E620" s="31">
        <v>168.62</v>
      </c>
      <c r="F620" s="23" t="s">
        <v>78</v>
      </c>
      <c r="G620" s="24" t="str">
        <f>VLOOKUP(F620,teams_owners!A:B,2,FALSE)</f>
        <v>Luc Chignell</v>
      </c>
      <c r="H620" s="29">
        <v>106.62</v>
      </c>
    </row>
    <row r="621" spans="1:8" ht="14.25" customHeight="1" x14ac:dyDescent="0.25">
      <c r="A621" s="23" t="s">
        <v>517</v>
      </c>
      <c r="B621" s="23" t="s">
        <v>70</v>
      </c>
      <c r="C621" s="23" t="s">
        <v>50</v>
      </c>
      <c r="D621" s="24" t="str">
        <f>VLOOKUP(C621,teams_owners!A:B,2,FALSE)</f>
        <v>Fiona Kerry</v>
      </c>
      <c r="E621" s="31">
        <v>155.96</v>
      </c>
      <c r="F621" s="23" t="s">
        <v>505</v>
      </c>
      <c r="G621" s="24" t="str">
        <f>VLOOKUP(F621,teams_owners!A:B,2,FALSE)</f>
        <v>Greg Mitchell</v>
      </c>
      <c r="H621" s="29">
        <v>135.62</v>
      </c>
    </row>
    <row r="622" spans="1:8" ht="14.25" customHeight="1" x14ac:dyDescent="0.25">
      <c r="A622" s="23" t="s">
        <v>517</v>
      </c>
      <c r="B622" s="23" t="s">
        <v>70</v>
      </c>
      <c r="C622" s="23" t="s">
        <v>497</v>
      </c>
      <c r="D622" s="24" t="str">
        <f>VLOOKUP(C622,teams_owners!A:B,2,FALSE)</f>
        <v>Rich Andrew</v>
      </c>
      <c r="E622" s="31">
        <v>128.91999999999999</v>
      </c>
      <c r="F622" s="23" t="s">
        <v>83</v>
      </c>
      <c r="G622" s="24" t="str">
        <f>VLOOKUP(F622,teams_owners!A:B,2,FALSE)</f>
        <v>Nathan</v>
      </c>
      <c r="H622" s="29">
        <v>131.58000000000001</v>
      </c>
    </row>
    <row r="623" spans="1:8" ht="14.25" customHeight="1" x14ac:dyDescent="0.25">
      <c r="A623" s="23" t="s">
        <v>517</v>
      </c>
      <c r="B623" s="23" t="s">
        <v>70</v>
      </c>
      <c r="C623" s="23" t="s">
        <v>67</v>
      </c>
      <c r="D623" s="24" t="str">
        <f>VLOOKUP(C623,teams_owners!A:B,2,FALSE)</f>
        <v>Rob Connet</v>
      </c>
      <c r="E623" s="31">
        <v>120.34</v>
      </c>
      <c r="F623" s="23" t="s">
        <v>29</v>
      </c>
      <c r="G623" s="24" t="str">
        <f>VLOOKUP(F623,teams_owners!A:B,2,FALSE)</f>
        <v>Joe Wilko</v>
      </c>
      <c r="H623" s="29">
        <v>131.1</v>
      </c>
    </row>
    <row r="624" spans="1:8" ht="14.25" customHeight="1" x14ac:dyDescent="0.25">
      <c r="A624" s="23" t="s">
        <v>517</v>
      </c>
      <c r="B624" s="23" t="s">
        <v>70</v>
      </c>
      <c r="C624" s="23" t="s">
        <v>506</v>
      </c>
      <c r="D624" s="24" t="str">
        <f>VLOOKUP(C624,teams_owners!A:B,2,FALSE)</f>
        <v>Adam Wilko</v>
      </c>
      <c r="E624" s="31">
        <v>130.6</v>
      </c>
      <c r="F624" s="23" t="s">
        <v>514</v>
      </c>
      <c r="G624" s="24" t="str">
        <f>VLOOKUP(F624,teams_owners!A:B,2,FALSE)</f>
        <v>Dan Austin</v>
      </c>
      <c r="H624" s="29">
        <v>131.08000000000001</v>
      </c>
    </row>
    <row r="625" spans="1:10" ht="14.25" customHeight="1" x14ac:dyDescent="0.25">
      <c r="A625" s="23" t="s">
        <v>517</v>
      </c>
      <c r="B625" s="23" t="s">
        <v>85</v>
      </c>
      <c r="C625" s="23" t="s">
        <v>502</v>
      </c>
      <c r="D625" s="24" t="str">
        <f>VLOOKUP(C625,teams_owners!A:B,2,FALSE)</f>
        <v>Rob Taylor</v>
      </c>
      <c r="E625" s="29">
        <v>161.04</v>
      </c>
      <c r="F625" s="23" t="s">
        <v>50</v>
      </c>
      <c r="G625" s="24" t="str">
        <f>VLOOKUP(F625,teams_owners!A:B,2,FALSE)</f>
        <v>Fiona Kerry</v>
      </c>
      <c r="H625" s="29">
        <v>138.74</v>
      </c>
    </row>
    <row r="626" spans="1:10" ht="14.25" customHeight="1" x14ac:dyDescent="0.25">
      <c r="A626" s="23" t="s">
        <v>517</v>
      </c>
      <c r="B626" s="23" t="s">
        <v>85</v>
      </c>
      <c r="C626" s="23" t="s">
        <v>505</v>
      </c>
      <c r="D626" s="24" t="str">
        <f>VLOOKUP(C626,teams_owners!A:B,2,FALSE)</f>
        <v>Greg Mitchell</v>
      </c>
      <c r="E626" s="29">
        <v>170.92</v>
      </c>
      <c r="F626" s="23" t="s">
        <v>78</v>
      </c>
      <c r="G626" s="24" t="str">
        <f>VLOOKUP(F626,teams_owners!A:B,2,FALSE)</f>
        <v>Luc Chignell</v>
      </c>
      <c r="H626" s="29">
        <v>160.4</v>
      </c>
    </row>
    <row r="627" spans="1:10" ht="14.25" customHeight="1" x14ac:dyDescent="0.25">
      <c r="A627" s="23" t="s">
        <v>517</v>
      </c>
      <c r="B627" s="23" t="s">
        <v>85</v>
      </c>
      <c r="C627" s="23" t="s">
        <v>514</v>
      </c>
      <c r="D627" s="24" t="str">
        <f>VLOOKUP(C627,teams_owners!A:B,2,FALSE)</f>
        <v>Dan Austin</v>
      </c>
      <c r="E627" s="29">
        <v>161.02000000000001</v>
      </c>
      <c r="F627" s="23" t="s">
        <v>83</v>
      </c>
      <c r="G627" s="24" t="str">
        <f>VLOOKUP(F627,teams_owners!A:B,2,FALSE)</f>
        <v>Nathan</v>
      </c>
      <c r="H627" s="29">
        <v>69.2</v>
      </c>
    </row>
    <row r="628" spans="1:10" ht="14.25" customHeight="1" x14ac:dyDescent="0.25">
      <c r="A628" s="23" t="s">
        <v>517</v>
      </c>
      <c r="B628" s="23" t="s">
        <v>85</v>
      </c>
      <c r="C628" s="23" t="s">
        <v>506</v>
      </c>
      <c r="D628" s="24" t="str">
        <f>VLOOKUP(C628,teams_owners!A:B,2,FALSE)</f>
        <v>Adam Wilko</v>
      </c>
      <c r="E628" s="29">
        <v>176.1</v>
      </c>
      <c r="F628" s="23" t="s">
        <v>29</v>
      </c>
      <c r="G628" s="24" t="str">
        <f>VLOOKUP(F628,teams_owners!A:B,2,FALSE)</f>
        <v>Joe Wilko</v>
      </c>
      <c r="H628" s="29">
        <v>142.44</v>
      </c>
    </row>
    <row r="629" spans="1:10" ht="14.25" customHeight="1" x14ac:dyDescent="0.25">
      <c r="A629" s="23" t="s">
        <v>517</v>
      </c>
      <c r="B629" s="23" t="s">
        <v>85</v>
      </c>
      <c r="C629" s="23" t="s">
        <v>497</v>
      </c>
      <c r="D629" s="24" t="str">
        <f>VLOOKUP(C629,teams_owners!A:B,2,FALSE)</f>
        <v>Rich Andrew</v>
      </c>
      <c r="E629" s="29">
        <v>118.96</v>
      </c>
      <c r="F629" s="23" t="s">
        <v>67</v>
      </c>
      <c r="G629" s="24" t="str">
        <f>VLOOKUP(F629,teams_owners!A:B,2,FALSE)</f>
        <v>Rob Connet</v>
      </c>
      <c r="H629" s="29">
        <v>149.52000000000001</v>
      </c>
    </row>
    <row r="630" spans="1:10" ht="14.25" customHeight="1" x14ac:dyDescent="0.25">
      <c r="A630" s="23" t="s">
        <v>517</v>
      </c>
      <c r="B630" s="23" t="s">
        <v>35</v>
      </c>
      <c r="C630" s="23" t="s">
        <v>502</v>
      </c>
      <c r="D630" s="24" t="str">
        <f>VLOOKUP(C630,teams_owners!A:B,2,FALSE)</f>
        <v>Rob Taylor</v>
      </c>
      <c r="E630" s="28">
        <v>142.38</v>
      </c>
      <c r="F630" s="23" t="s">
        <v>78</v>
      </c>
      <c r="G630" s="24" t="str">
        <f>VLOOKUP(F630,teams_owners!A:B,2,FALSE)</f>
        <v>Luc Chignell</v>
      </c>
      <c r="H630" s="29">
        <v>209.06</v>
      </c>
    </row>
    <row r="631" spans="1:10" ht="14.25" customHeight="1" x14ac:dyDescent="0.25">
      <c r="A631" s="23" t="s">
        <v>517</v>
      </c>
      <c r="B631" s="23" t="s">
        <v>72</v>
      </c>
      <c r="C631" s="23" t="s">
        <v>497</v>
      </c>
      <c r="D631" s="24" t="str">
        <f>VLOOKUP(C631,teams_owners!A:B,2,FALSE)</f>
        <v>Rich Andrew</v>
      </c>
      <c r="E631" s="28">
        <v>143.82</v>
      </c>
      <c r="F631" s="23" t="s">
        <v>505</v>
      </c>
      <c r="G631" s="24" t="str">
        <f>VLOOKUP(F631,teams_owners!A:B,2,FALSE)</f>
        <v>Greg Mitchell</v>
      </c>
      <c r="H631" s="29">
        <v>121.48</v>
      </c>
    </row>
    <row r="632" spans="1:10" ht="14.25" customHeight="1" x14ac:dyDescent="0.25">
      <c r="A632" s="23" t="s">
        <v>558</v>
      </c>
      <c r="B632" s="23" t="s">
        <v>8</v>
      </c>
      <c r="C632" s="23" t="s">
        <v>557</v>
      </c>
      <c r="D632" s="24" t="str">
        <f>VLOOKUP(C632,teams_owners!A:B,2,FALSE)</f>
        <v>Rob Taylor</v>
      </c>
      <c r="E632" s="29">
        <v>126.92</v>
      </c>
      <c r="F632" s="23" t="s">
        <v>83</v>
      </c>
      <c r="G632" s="24" t="str">
        <f>VLOOKUP(F632,teams_owners!A:B,2,FALSE)</f>
        <v>Nathan</v>
      </c>
      <c r="H632" s="29">
        <v>141.54</v>
      </c>
      <c r="I632">
        <v>145.36000000000001</v>
      </c>
      <c r="J632" s="29">
        <v>143.91</v>
      </c>
    </row>
    <row r="633" spans="1:10" ht="14.25" customHeight="1" x14ac:dyDescent="0.25">
      <c r="A633" s="23" t="s">
        <v>558</v>
      </c>
      <c r="B633" s="23" t="s">
        <v>8</v>
      </c>
      <c r="C633" s="23" t="s">
        <v>505</v>
      </c>
      <c r="D633" s="24" t="str">
        <f>VLOOKUP(C633,teams_owners!A:B,2,FALSE)</f>
        <v>Greg Mitchell</v>
      </c>
      <c r="E633" s="29">
        <v>146.38</v>
      </c>
      <c r="F633" s="23" t="s">
        <v>514</v>
      </c>
      <c r="G633" s="24" t="str">
        <f>VLOOKUP(F633,teams_owners!A:B,2,FALSE)</f>
        <v>Dan Austin</v>
      </c>
      <c r="H633" s="29">
        <v>140.68</v>
      </c>
      <c r="I633">
        <v>132.87</v>
      </c>
      <c r="J633" s="29">
        <v>150.26</v>
      </c>
    </row>
    <row r="634" spans="1:10" ht="14.25" customHeight="1" x14ac:dyDescent="0.25">
      <c r="A634" s="23" t="s">
        <v>558</v>
      </c>
      <c r="B634" s="23" t="s">
        <v>8</v>
      </c>
      <c r="C634" s="23" t="s">
        <v>556</v>
      </c>
      <c r="D634" s="24" t="str">
        <f>VLOOKUP(C634,teams_owners!A:B,2,FALSE)</f>
        <v>Adam Wilko</v>
      </c>
      <c r="E634" s="29">
        <v>129.97999999999999</v>
      </c>
      <c r="F634" s="23" t="s">
        <v>78</v>
      </c>
      <c r="G634" s="24" t="str">
        <f>VLOOKUP(F634,teams_owners!A:B,2,FALSE)</f>
        <v>Luc Chignell</v>
      </c>
      <c r="H634" s="29">
        <v>159.44</v>
      </c>
      <c r="I634">
        <v>149.09</v>
      </c>
      <c r="J634" s="29">
        <v>141.96</v>
      </c>
    </row>
    <row r="635" spans="1:10" ht="14.25" customHeight="1" x14ac:dyDescent="0.25">
      <c r="A635" s="23" t="s">
        <v>558</v>
      </c>
      <c r="B635" s="23" t="s">
        <v>8</v>
      </c>
      <c r="C635" s="23" t="s">
        <v>497</v>
      </c>
      <c r="D635" s="24" t="str">
        <f>VLOOKUP(C635,teams_owners!A:B,2,FALSE)</f>
        <v>Rich Andrew</v>
      </c>
      <c r="E635" s="29">
        <v>137.47999999999999</v>
      </c>
      <c r="F635" s="23" t="s">
        <v>67</v>
      </c>
      <c r="G635" s="24" t="str">
        <f>VLOOKUP(F635,teams_owners!A:B,2,FALSE)</f>
        <v>Rob Connet</v>
      </c>
      <c r="H635" s="29">
        <v>108.72</v>
      </c>
      <c r="I635">
        <v>139.1</v>
      </c>
      <c r="J635" s="29">
        <v>125.74</v>
      </c>
    </row>
    <row r="636" spans="1:10" ht="14.25" customHeight="1" x14ac:dyDescent="0.25">
      <c r="A636" s="23" t="s">
        <v>558</v>
      </c>
      <c r="B636" s="23" t="s">
        <v>8</v>
      </c>
      <c r="C636" t="s">
        <v>554</v>
      </c>
      <c r="D636" s="24" t="str">
        <f>VLOOKUP(C636,teams_owners!A:B,2,FALSE)</f>
        <v>Fiona Kerry</v>
      </c>
      <c r="E636" s="29">
        <v>120.68</v>
      </c>
      <c r="F636" t="s">
        <v>553</v>
      </c>
      <c r="G636" s="24" t="str">
        <f>VLOOKUP(F636,teams_owners!A:B,2,FALSE)</f>
        <v>Joe Wilko</v>
      </c>
      <c r="H636" s="29">
        <v>117.7</v>
      </c>
      <c r="I636">
        <v>152.25</v>
      </c>
      <c r="J636" s="29">
        <v>150.81</v>
      </c>
    </row>
    <row r="637" spans="1:10" ht="14.25" customHeight="1" x14ac:dyDescent="0.25">
      <c r="A637" s="23" t="s">
        <v>558</v>
      </c>
      <c r="B637" s="23" t="s">
        <v>8</v>
      </c>
      <c r="C637" t="s">
        <v>555</v>
      </c>
      <c r="D637" s="24" t="str">
        <f>VLOOKUP(C637,teams_owners!A:B,2,FALSE)</f>
        <v>RGoose90</v>
      </c>
      <c r="E637" s="29">
        <v>112.42</v>
      </c>
      <c r="F637" s="1" t="s">
        <v>552</v>
      </c>
      <c r="G637" s="24" t="str">
        <f>VLOOKUP(F637,teams_owners!A:B,2,FALSE)</f>
        <v>Matt Taylor</v>
      </c>
      <c r="H637" s="29">
        <v>114.36</v>
      </c>
      <c r="I637">
        <v>137.93</v>
      </c>
      <c r="J637" s="29">
        <v>148.9</v>
      </c>
    </row>
    <row r="638" spans="1:10" ht="14.25" customHeight="1" x14ac:dyDescent="0.25">
      <c r="A638" s="23" t="s">
        <v>558</v>
      </c>
      <c r="B638" s="23" t="s">
        <v>6</v>
      </c>
      <c r="C638" s="23" t="s">
        <v>557</v>
      </c>
      <c r="D638" s="24" t="str">
        <f>VLOOKUP(C638,teams_owners!A:B,2,FALSE)</f>
        <v>Rob Taylor</v>
      </c>
      <c r="E638" s="29">
        <v>135.18</v>
      </c>
      <c r="F638" s="23" t="s">
        <v>497</v>
      </c>
      <c r="G638" s="24" t="str">
        <f>VLOOKUP(F638,teams_owners!A:B,2,FALSE)</f>
        <v>Rich Andrew</v>
      </c>
      <c r="H638" s="29">
        <v>142.1</v>
      </c>
      <c r="I638">
        <v>143.76</v>
      </c>
      <c r="J638" s="29">
        <v>142.88</v>
      </c>
    </row>
    <row r="639" spans="1:10" ht="14.25" customHeight="1" x14ac:dyDescent="0.25">
      <c r="A639" s="23" t="s">
        <v>558</v>
      </c>
      <c r="B639" s="23" t="s">
        <v>6</v>
      </c>
      <c r="C639" s="23" t="s">
        <v>505</v>
      </c>
      <c r="D639" s="24" t="str">
        <f>VLOOKUP(C639,teams_owners!A:B,2,FALSE)</f>
        <v>Greg Mitchell</v>
      </c>
      <c r="E639" s="29">
        <v>100.88</v>
      </c>
      <c r="F639" s="23" t="s">
        <v>78</v>
      </c>
      <c r="G639" s="24" t="str">
        <f>VLOOKUP(F639,teams_owners!A:B,2,FALSE)</f>
        <v>Luc Chignell</v>
      </c>
      <c r="H639" s="29">
        <v>168.1</v>
      </c>
      <c r="I639">
        <v>117.18</v>
      </c>
      <c r="J639" s="29">
        <v>148.08000000000001</v>
      </c>
    </row>
    <row r="640" spans="1:10" ht="14.25" customHeight="1" x14ac:dyDescent="0.25">
      <c r="A640" s="23" t="s">
        <v>558</v>
      </c>
      <c r="B640" s="23" t="s">
        <v>6</v>
      </c>
      <c r="C640" s="23" t="s">
        <v>556</v>
      </c>
      <c r="D640" s="24" t="str">
        <f>VLOOKUP(C640,teams_owners!A:B,2,FALSE)</f>
        <v>Adam Wilko</v>
      </c>
      <c r="E640" s="29">
        <v>146.04</v>
      </c>
      <c r="F640" s="23" t="s">
        <v>514</v>
      </c>
      <c r="G640" s="24" t="str">
        <f>VLOOKUP(F640,teams_owners!A:B,2,FALSE)</f>
        <v>Dan Austin</v>
      </c>
      <c r="H640" s="29">
        <v>149.38</v>
      </c>
      <c r="I640">
        <v>153.4</v>
      </c>
      <c r="J640" s="29">
        <v>151.36000000000001</v>
      </c>
    </row>
    <row r="641" spans="1:10" ht="14.25" customHeight="1" x14ac:dyDescent="0.25">
      <c r="A641" s="23" t="s">
        <v>558</v>
      </c>
      <c r="B641" s="23" t="s">
        <v>6</v>
      </c>
      <c r="C641" s="23" t="s">
        <v>67</v>
      </c>
      <c r="D641" s="24" t="str">
        <f>VLOOKUP(C641,teams_owners!A:B,2,FALSE)</f>
        <v>Rob Connet</v>
      </c>
      <c r="E641" s="29">
        <v>134.44</v>
      </c>
      <c r="F641" s="23" t="s">
        <v>83</v>
      </c>
      <c r="G641" s="24" t="str">
        <f>VLOOKUP(F641,teams_owners!A:B,2,FALSE)</f>
        <v>Nathan</v>
      </c>
      <c r="H641" s="29">
        <v>132.12</v>
      </c>
      <c r="I641">
        <v>138</v>
      </c>
      <c r="J641" s="29">
        <v>149.9</v>
      </c>
    </row>
    <row r="642" spans="1:10" ht="14.25" customHeight="1" x14ac:dyDescent="0.25">
      <c r="A642" s="23" t="s">
        <v>558</v>
      </c>
      <c r="B642" s="23" t="s">
        <v>6</v>
      </c>
      <c r="C642" t="s">
        <v>553</v>
      </c>
      <c r="D642" s="24" t="str">
        <f>VLOOKUP(C642,teams_owners!A:B,2,FALSE)</f>
        <v>Joe Wilko</v>
      </c>
      <c r="E642" s="29">
        <v>177.18</v>
      </c>
      <c r="F642" t="s">
        <v>555</v>
      </c>
      <c r="G642" s="24" t="str">
        <f>VLOOKUP(F642,teams_owners!A:B,2,FALSE)</f>
        <v>RGoose90</v>
      </c>
      <c r="H642" s="29">
        <v>96.48</v>
      </c>
      <c r="I642">
        <v>148.75</v>
      </c>
      <c r="J642" s="29">
        <v>133.69999999999999</v>
      </c>
    </row>
    <row r="643" spans="1:10" ht="14.25" customHeight="1" x14ac:dyDescent="0.25">
      <c r="A643" s="23" t="s">
        <v>558</v>
      </c>
      <c r="B643" s="23" t="s">
        <v>6</v>
      </c>
      <c r="C643" s="23" t="s">
        <v>554</v>
      </c>
      <c r="D643" s="24" t="str">
        <f>VLOOKUP(C643,teams_owners!A:B,2,FALSE)</f>
        <v>Fiona Kerry</v>
      </c>
      <c r="E643" s="29">
        <v>126.86</v>
      </c>
      <c r="F643" s="23" t="s">
        <v>552</v>
      </c>
      <c r="G643" s="24" t="str">
        <f>VLOOKUP(F643,teams_owners!A:B,2,FALSE)</f>
        <v>Matt Taylor</v>
      </c>
      <c r="H643" s="29">
        <v>162.28</v>
      </c>
      <c r="I643">
        <v>153.88</v>
      </c>
      <c r="J643" s="29">
        <v>147.54</v>
      </c>
    </row>
    <row r="644" spans="1:10" ht="14.25" customHeight="1" x14ac:dyDescent="0.25">
      <c r="A644" s="23" t="s">
        <v>558</v>
      </c>
      <c r="B644" s="23" t="s">
        <v>57</v>
      </c>
      <c r="C644" s="23" t="s">
        <v>557</v>
      </c>
      <c r="D644" s="24" t="str">
        <f>VLOOKUP(C644,teams_owners!A:B,2,FALSE)</f>
        <v>Rob Taylor</v>
      </c>
      <c r="E644" s="29">
        <v>115.72</v>
      </c>
      <c r="F644" s="23" t="s">
        <v>67</v>
      </c>
      <c r="G644" s="24" t="str">
        <f>VLOOKUP(F644,teams_owners!A:B,2,FALSE)</f>
        <v>Rob Connet</v>
      </c>
      <c r="H644" s="29">
        <v>133.96</v>
      </c>
      <c r="I644">
        <v>134.53</v>
      </c>
      <c r="J644" s="29">
        <v>144.49</v>
      </c>
    </row>
    <row r="645" spans="1:10" ht="14.25" customHeight="1" x14ac:dyDescent="0.25">
      <c r="A645" s="23" t="s">
        <v>558</v>
      </c>
      <c r="B645" s="23" t="s">
        <v>57</v>
      </c>
      <c r="C645" s="23" t="s">
        <v>556</v>
      </c>
      <c r="D645" s="24" t="str">
        <f>VLOOKUP(C645,teams_owners!A:B,2,FALSE)</f>
        <v>Adam Wilko</v>
      </c>
      <c r="E645" s="29">
        <v>138.9</v>
      </c>
      <c r="F645" s="23" t="s">
        <v>505</v>
      </c>
      <c r="G645" s="24" t="str">
        <f>VLOOKUP(F645,teams_owners!A:B,2,FALSE)</f>
        <v>Greg Mitchell</v>
      </c>
      <c r="H645" s="29">
        <v>173.12</v>
      </c>
      <c r="I645">
        <v>151.53</v>
      </c>
      <c r="J645" s="29">
        <v>123.23</v>
      </c>
    </row>
    <row r="646" spans="1:10" ht="14.25" customHeight="1" x14ac:dyDescent="0.25">
      <c r="A646" s="23" t="s">
        <v>558</v>
      </c>
      <c r="B646" s="23" t="s">
        <v>57</v>
      </c>
      <c r="C646" s="23" t="s">
        <v>514</v>
      </c>
      <c r="D646" s="24" t="str">
        <f>VLOOKUP(C646,teams_owners!A:B,2,FALSE)</f>
        <v>Dan Austin</v>
      </c>
      <c r="E646" s="29">
        <v>101</v>
      </c>
      <c r="F646" s="23" t="s">
        <v>78</v>
      </c>
      <c r="G646" s="24" t="str">
        <f>VLOOKUP(F646,teams_owners!A:B,2,FALSE)</f>
        <v>Luc Chignell</v>
      </c>
      <c r="H646" s="29">
        <v>132.06</v>
      </c>
      <c r="I646">
        <v>142.62</v>
      </c>
      <c r="J646" s="29">
        <v>154.08000000000001</v>
      </c>
    </row>
    <row r="647" spans="1:10" ht="14.25" customHeight="1" x14ac:dyDescent="0.25">
      <c r="A647" s="23" t="s">
        <v>558</v>
      </c>
      <c r="B647" s="23" t="s">
        <v>57</v>
      </c>
      <c r="C647" s="23" t="s">
        <v>497</v>
      </c>
      <c r="D647" s="24" t="str">
        <f>VLOOKUP(C647,teams_owners!A:B,2,FALSE)</f>
        <v>Rich Andrew</v>
      </c>
      <c r="E647" s="29">
        <v>124.08</v>
      </c>
      <c r="F647" s="23" t="s">
        <v>83</v>
      </c>
      <c r="G647" s="24" t="str">
        <f>VLOOKUP(F647,teams_owners!A:B,2,FALSE)</f>
        <v>Nathan</v>
      </c>
      <c r="H647" s="29">
        <v>105.38</v>
      </c>
      <c r="I647">
        <v>155.41</v>
      </c>
      <c r="J647" s="29">
        <v>141.24</v>
      </c>
    </row>
    <row r="648" spans="1:10" ht="14.25" customHeight="1" x14ac:dyDescent="0.25">
      <c r="A648" s="23" t="s">
        <v>558</v>
      </c>
      <c r="B648" s="23" t="s">
        <v>57</v>
      </c>
      <c r="C648" s="23" t="s">
        <v>553</v>
      </c>
      <c r="D648" s="24" t="str">
        <f>VLOOKUP(C648,teams_owners!A:B,2,FALSE)</f>
        <v>Joe Wilko</v>
      </c>
      <c r="E648" s="29">
        <v>145.47999999999999</v>
      </c>
      <c r="F648" s="23" t="s">
        <v>552</v>
      </c>
      <c r="G648" s="24" t="str">
        <f>VLOOKUP(F648,teams_owners!A:B,2,FALSE)</f>
        <v>Matt Taylor</v>
      </c>
      <c r="H648" s="29">
        <v>151.13999999999999</v>
      </c>
      <c r="I648">
        <v>152.62</v>
      </c>
      <c r="J648" s="29">
        <v>146.11000000000001</v>
      </c>
    </row>
    <row r="649" spans="1:10" ht="14.25" customHeight="1" x14ac:dyDescent="0.25">
      <c r="A649" s="23" t="s">
        <v>558</v>
      </c>
      <c r="B649" s="23" t="s">
        <v>57</v>
      </c>
      <c r="C649" s="23" t="s">
        <v>554</v>
      </c>
      <c r="D649" s="24" t="str">
        <f>VLOOKUP(C649,teams_owners!A:B,2,FALSE)</f>
        <v>Fiona Kerry</v>
      </c>
      <c r="E649" s="29">
        <v>146.68</v>
      </c>
      <c r="F649" s="23" t="s">
        <v>555</v>
      </c>
      <c r="G649" s="24" t="str">
        <f>VLOOKUP(F649,teams_owners!A:B,2,FALSE)</f>
        <v>RGoose90</v>
      </c>
      <c r="H649" s="29">
        <v>115.92</v>
      </c>
      <c r="I649">
        <v>155.01</v>
      </c>
      <c r="J649" s="29">
        <v>136.18</v>
      </c>
    </row>
    <row r="650" spans="1:10" ht="14.25" customHeight="1" x14ac:dyDescent="0.25">
      <c r="A650" s="23" t="s">
        <v>558</v>
      </c>
      <c r="B650" s="23" t="s">
        <v>41</v>
      </c>
      <c r="C650" s="23" t="s">
        <v>557</v>
      </c>
      <c r="D650" s="24" t="str">
        <f>VLOOKUP(C650,teams_owners!A:B,2,FALSE)</f>
        <v>Rob Taylor</v>
      </c>
      <c r="E650" s="29">
        <v>135.30000000000001</v>
      </c>
      <c r="F650" s="23" t="s">
        <v>555</v>
      </c>
      <c r="G650" s="24" t="str">
        <f>VLOOKUP(F650,teams_owners!A:B,2,FALSE)</f>
        <v>RGoose90</v>
      </c>
      <c r="H650" s="29">
        <v>149.28</v>
      </c>
      <c r="I650">
        <v>136.27000000000001</v>
      </c>
      <c r="J650" s="29">
        <v>114.06</v>
      </c>
    </row>
    <row r="651" spans="1:10" ht="14.25" customHeight="1" x14ac:dyDescent="0.25">
      <c r="A651" s="23" t="s">
        <v>558</v>
      </c>
      <c r="B651" s="23" t="s">
        <v>41</v>
      </c>
      <c r="C651" s="23" t="s">
        <v>497</v>
      </c>
      <c r="D651" s="24" t="str">
        <f>VLOOKUP(C651,teams_owners!A:B,2,FALSE)</f>
        <v>Rich Andrew</v>
      </c>
      <c r="E651" s="29">
        <v>142.88</v>
      </c>
      <c r="F651" s="23" t="s">
        <v>505</v>
      </c>
      <c r="G651" s="24" t="str">
        <f>VLOOKUP(F651,teams_owners!A:B,2,FALSE)</f>
        <v>Greg Mitchell</v>
      </c>
      <c r="H651" s="29">
        <v>126.88</v>
      </c>
      <c r="I651">
        <v>144.26</v>
      </c>
      <c r="J651" s="29">
        <v>120.85</v>
      </c>
    </row>
    <row r="652" spans="1:10" ht="14.25" customHeight="1" x14ac:dyDescent="0.25">
      <c r="A652" s="23" t="s">
        <v>558</v>
      </c>
      <c r="B652" s="23" t="s">
        <v>41</v>
      </c>
      <c r="C652" s="23" t="s">
        <v>67</v>
      </c>
      <c r="D652" s="24" t="str">
        <f>VLOOKUP(C652,teams_owners!A:B,2,FALSE)</f>
        <v>Rob Connet</v>
      </c>
      <c r="E652" s="29">
        <v>154.46</v>
      </c>
      <c r="F652" s="23" t="s">
        <v>514</v>
      </c>
      <c r="G652" s="24" t="str">
        <f>VLOOKUP(F652,teams_owners!A:B,2,FALSE)</f>
        <v>Dan Austin</v>
      </c>
      <c r="H652" s="29">
        <v>125.86</v>
      </c>
      <c r="I652">
        <v>132.69999999999999</v>
      </c>
      <c r="J652" s="29">
        <v>124.2</v>
      </c>
    </row>
    <row r="653" spans="1:10" ht="14.25" customHeight="1" x14ac:dyDescent="0.25">
      <c r="A653" s="23" t="s">
        <v>558</v>
      </c>
      <c r="B653" s="23" t="s">
        <v>41</v>
      </c>
      <c r="C653" s="23" t="s">
        <v>553</v>
      </c>
      <c r="D653" s="24" t="str">
        <f>VLOOKUP(C653,teams_owners!A:B,2,FALSE)</f>
        <v>Joe Wilko</v>
      </c>
      <c r="E653" s="29">
        <v>172.66</v>
      </c>
      <c r="F653" s="23" t="s">
        <v>78</v>
      </c>
      <c r="G653" s="24" t="str">
        <f>VLOOKUP(F653,teams_owners!A:B,2,FALSE)</f>
        <v>Luc Chignell</v>
      </c>
      <c r="H653" s="29">
        <v>158.47999999999999</v>
      </c>
      <c r="I653">
        <v>148.44</v>
      </c>
      <c r="J653" s="29">
        <v>153.19</v>
      </c>
    </row>
    <row r="654" spans="1:10" ht="14.25" customHeight="1" x14ac:dyDescent="0.25">
      <c r="A654" s="23" t="s">
        <v>558</v>
      </c>
      <c r="B654" s="23" t="s">
        <v>41</v>
      </c>
      <c r="C654" s="23" t="s">
        <v>554</v>
      </c>
      <c r="D654" s="24" t="str">
        <f>VLOOKUP(C654,teams_owners!A:B,2,FALSE)</f>
        <v>Fiona Kerry</v>
      </c>
      <c r="E654" s="29">
        <v>125.6</v>
      </c>
      <c r="F654" s="23" t="s">
        <v>556</v>
      </c>
      <c r="G654" s="24" t="str">
        <f>VLOOKUP(F654,teams_owners!A:B,2,FALSE)</f>
        <v>Adam Wilko</v>
      </c>
      <c r="H654" s="29">
        <v>123.24</v>
      </c>
      <c r="I654">
        <v>150.1</v>
      </c>
      <c r="J654" s="29">
        <v>146.41</v>
      </c>
    </row>
    <row r="655" spans="1:10" ht="14.25" customHeight="1" x14ac:dyDescent="0.25">
      <c r="A655" s="23" t="s">
        <v>558</v>
      </c>
      <c r="B655" s="23" t="s">
        <v>41</v>
      </c>
      <c r="C655" s="23" t="s">
        <v>83</v>
      </c>
      <c r="D655" s="24" t="str">
        <f>VLOOKUP(C655,teams_owners!A:B,2,FALSE)</f>
        <v>Nathan</v>
      </c>
      <c r="E655" s="29">
        <v>113.46</v>
      </c>
      <c r="F655" s="23" t="s">
        <v>552</v>
      </c>
      <c r="G655" s="24" t="str">
        <f>VLOOKUP(F655,teams_owners!A:B,2,FALSE)</f>
        <v>Matt Taylor</v>
      </c>
      <c r="H655" s="29">
        <v>139.32</v>
      </c>
      <c r="I655">
        <v>132.09</v>
      </c>
      <c r="J655" s="29">
        <v>141.66</v>
      </c>
    </row>
    <row r="656" spans="1:10" ht="14.25" customHeight="1" x14ac:dyDescent="0.25">
      <c r="A656" s="23" t="s">
        <v>558</v>
      </c>
      <c r="B656" s="23" t="s">
        <v>27</v>
      </c>
      <c r="C656" s="23" t="s">
        <v>557</v>
      </c>
      <c r="D656" s="24" t="str">
        <f>VLOOKUP(C656,teams_owners!A:B,2,FALSE)</f>
        <v>Rob Taylor</v>
      </c>
      <c r="E656" s="29">
        <v>127.88</v>
      </c>
      <c r="F656" s="23" t="s">
        <v>552</v>
      </c>
      <c r="G656" s="24" t="str">
        <f>VLOOKUP(F656,teams_owners!A:B,2,FALSE)</f>
        <v>Matt Taylor</v>
      </c>
      <c r="H656" s="29">
        <v>155.13999999999999</v>
      </c>
      <c r="I656">
        <v>132.08000000000001</v>
      </c>
      <c r="J656" s="29">
        <v>132.71</v>
      </c>
    </row>
    <row r="657" spans="1:10" ht="14.25" customHeight="1" x14ac:dyDescent="0.25">
      <c r="A657" s="23" t="s">
        <v>558</v>
      </c>
      <c r="B657" s="23" t="s">
        <v>27</v>
      </c>
      <c r="C657" s="23" t="s">
        <v>67</v>
      </c>
      <c r="D657" s="24" t="str">
        <f>VLOOKUP(C657,teams_owners!A:B,2,FALSE)</f>
        <v>Rob Connet</v>
      </c>
      <c r="E657" s="29">
        <v>104.5</v>
      </c>
      <c r="F657" s="23" t="s">
        <v>505</v>
      </c>
      <c r="G657" s="24" t="str">
        <f>VLOOKUP(F657,teams_owners!A:B,2,FALSE)</f>
        <v>Greg Mitchell</v>
      </c>
      <c r="H657" s="29">
        <v>113.8</v>
      </c>
      <c r="I657">
        <v>121.25</v>
      </c>
      <c r="J657" s="29">
        <v>97.29</v>
      </c>
    </row>
    <row r="658" spans="1:10" ht="14.25" customHeight="1" x14ac:dyDescent="0.25">
      <c r="A658" s="23" t="s">
        <v>558</v>
      </c>
      <c r="B658" s="23" t="s">
        <v>27</v>
      </c>
      <c r="C658" s="23" t="s">
        <v>497</v>
      </c>
      <c r="D658" s="24" t="str">
        <f>VLOOKUP(C658,teams_owners!A:B,2,FALSE)</f>
        <v>Rich Andrew</v>
      </c>
      <c r="E658" s="29">
        <v>196.04</v>
      </c>
      <c r="F658" s="23" t="s">
        <v>514</v>
      </c>
      <c r="G658" s="24" t="str">
        <f>VLOOKUP(F658,teams_owners!A:B,2,FALSE)</f>
        <v>Dan Austin</v>
      </c>
      <c r="H658" s="29">
        <v>158.91999999999999</v>
      </c>
      <c r="I658">
        <v>143.54</v>
      </c>
      <c r="J658" s="29">
        <v>109.99</v>
      </c>
    </row>
    <row r="659" spans="1:10" ht="14.25" customHeight="1" x14ac:dyDescent="0.25">
      <c r="A659" s="23" t="s">
        <v>558</v>
      </c>
      <c r="B659" s="23" t="s">
        <v>27</v>
      </c>
      <c r="C659" s="23" t="s">
        <v>554</v>
      </c>
      <c r="D659" s="24" t="str">
        <f>VLOOKUP(C659,teams_owners!A:B,2,FALSE)</f>
        <v>Fiona Kerry</v>
      </c>
      <c r="E659" s="29">
        <v>172.46</v>
      </c>
      <c r="F659" s="23" t="s">
        <v>78</v>
      </c>
      <c r="G659" s="24" t="str">
        <f>VLOOKUP(F659,teams_owners!A:B,2,FALSE)</f>
        <v>Luc Chignell</v>
      </c>
      <c r="H659" s="29">
        <v>109.82</v>
      </c>
      <c r="I659">
        <v>138.02000000000001</v>
      </c>
      <c r="J659" s="29">
        <v>149.47999999999999</v>
      </c>
    </row>
    <row r="660" spans="1:10" ht="14.25" customHeight="1" x14ac:dyDescent="0.25">
      <c r="A660" s="23" t="s">
        <v>558</v>
      </c>
      <c r="B660" s="23" t="s">
        <v>27</v>
      </c>
      <c r="C660" s="23" t="s">
        <v>556</v>
      </c>
      <c r="D660" s="24" t="str">
        <f>VLOOKUP(C660,teams_owners!A:B,2,FALSE)</f>
        <v>Adam Wilko</v>
      </c>
      <c r="E660" s="29">
        <v>143.94</v>
      </c>
      <c r="F660" s="23" t="s">
        <v>553</v>
      </c>
      <c r="G660" s="24" t="str">
        <f>VLOOKUP(F660,teams_owners!A:B,2,FALSE)</f>
        <v>Joe Wilko</v>
      </c>
      <c r="H660" s="29">
        <v>144.68</v>
      </c>
      <c r="I660">
        <v>129.93</v>
      </c>
      <c r="J660" s="29">
        <v>142.44</v>
      </c>
    </row>
    <row r="661" spans="1:10" ht="14.25" customHeight="1" x14ac:dyDescent="0.25">
      <c r="A661" s="23" t="s">
        <v>558</v>
      </c>
      <c r="B661" s="23" t="s">
        <v>27</v>
      </c>
      <c r="C661" s="23" t="s">
        <v>83</v>
      </c>
      <c r="D661" s="24" t="str">
        <f>VLOOKUP(C661,teams_owners!A:B,2,FALSE)</f>
        <v>Nathan</v>
      </c>
      <c r="E661" s="29">
        <v>134.76</v>
      </c>
      <c r="F661" s="23" t="s">
        <v>555</v>
      </c>
      <c r="G661" s="24" t="str">
        <f>VLOOKUP(F661,teams_owners!A:B,2,FALSE)</f>
        <v>RGoose90</v>
      </c>
      <c r="H661" s="29">
        <v>154.68</v>
      </c>
      <c r="I661">
        <v>147.57</v>
      </c>
      <c r="J661" s="29">
        <v>119.01</v>
      </c>
    </row>
    <row r="662" spans="1:10" ht="14.25" customHeight="1" x14ac:dyDescent="0.25">
      <c r="A662" s="23" t="s">
        <v>558</v>
      </c>
      <c r="B662" s="23" t="s">
        <v>46</v>
      </c>
      <c r="C662" s="23" t="s">
        <v>557</v>
      </c>
      <c r="D662" s="24" t="str">
        <f>VLOOKUP(C662,teams_owners!A:B,2,FALSE)</f>
        <v>Rob Taylor</v>
      </c>
      <c r="E662" s="29">
        <v>144.08000000000001</v>
      </c>
      <c r="F662" s="23" t="s">
        <v>505</v>
      </c>
      <c r="G662" s="24" t="str">
        <f>VLOOKUP(F662,teams_owners!A:B,2,FALSE)</f>
        <v>Greg Mitchell</v>
      </c>
      <c r="H662" s="29">
        <v>76.8</v>
      </c>
      <c r="I662">
        <v>128.41999999999999</v>
      </c>
      <c r="J662" s="29">
        <v>103.21</v>
      </c>
    </row>
    <row r="663" spans="1:10" ht="14.25" customHeight="1" x14ac:dyDescent="0.25">
      <c r="A663" s="23" t="s">
        <v>558</v>
      </c>
      <c r="B663" s="23" t="s">
        <v>46</v>
      </c>
      <c r="C663" s="23" t="s">
        <v>514</v>
      </c>
      <c r="D663" s="24" t="str">
        <f>VLOOKUP(C663,teams_owners!A:B,2,FALSE)</f>
        <v>Dan Austin</v>
      </c>
      <c r="E663" s="29">
        <v>91.28</v>
      </c>
      <c r="F663" s="23" t="s">
        <v>83</v>
      </c>
      <c r="G663" s="24" t="str">
        <f>VLOOKUP(F663,teams_owners!A:B,2,FALSE)</f>
        <v>Nathan</v>
      </c>
      <c r="H663" s="29">
        <v>160.34</v>
      </c>
      <c r="I663">
        <v>116.25</v>
      </c>
      <c r="J663" s="29">
        <v>146.99</v>
      </c>
    </row>
    <row r="664" spans="1:10" ht="14.25" customHeight="1" x14ac:dyDescent="0.25">
      <c r="A664" s="23" t="s">
        <v>558</v>
      </c>
      <c r="B664" s="23" t="s">
        <v>46</v>
      </c>
      <c r="C664" s="23" t="s">
        <v>78</v>
      </c>
      <c r="D664" s="24" t="str">
        <f>VLOOKUP(C664,teams_owners!A:B,2,FALSE)</f>
        <v>Luc Chignell</v>
      </c>
      <c r="E664" s="29">
        <v>102.96</v>
      </c>
      <c r="F664" s="23" t="s">
        <v>555</v>
      </c>
      <c r="G664" s="24" t="str">
        <f>VLOOKUP(F664,teams_owners!A:B,2,FALSE)</f>
        <v>RGoose90</v>
      </c>
      <c r="H664" s="29">
        <v>111.86</v>
      </c>
      <c r="I664">
        <v>131.1</v>
      </c>
      <c r="J664" s="29">
        <v>117.52</v>
      </c>
    </row>
    <row r="665" spans="1:10" ht="14.25" customHeight="1" x14ac:dyDescent="0.25">
      <c r="A665" s="23" t="s">
        <v>558</v>
      </c>
      <c r="B665" s="23" t="s">
        <v>46</v>
      </c>
      <c r="C665" s="23" t="s">
        <v>556</v>
      </c>
      <c r="D665" s="24" t="str">
        <f>VLOOKUP(C665,teams_owners!A:B,2,FALSE)</f>
        <v>Adam Wilko</v>
      </c>
      <c r="E665" s="29">
        <v>134.02000000000001</v>
      </c>
      <c r="F665" s="23" t="s">
        <v>552</v>
      </c>
      <c r="G665" s="24" t="str">
        <f>VLOOKUP(F665,teams_owners!A:B,2,FALSE)</f>
        <v>Matt Taylor</v>
      </c>
      <c r="H665" s="29">
        <v>126.88</v>
      </c>
      <c r="I665">
        <v>135.19999999999999</v>
      </c>
      <c r="J665" s="29">
        <v>138.18</v>
      </c>
    </row>
    <row r="666" spans="1:10" ht="14.25" customHeight="1" x14ac:dyDescent="0.25">
      <c r="A666" s="23" t="s">
        <v>558</v>
      </c>
      <c r="B666" s="23" t="s">
        <v>46</v>
      </c>
      <c r="C666" s="23" t="s">
        <v>497</v>
      </c>
      <c r="D666" s="24" t="str">
        <f>VLOOKUP(C666,teams_owners!A:B,2,FALSE)</f>
        <v>Rich Andrew</v>
      </c>
      <c r="E666" s="29">
        <v>70.5</v>
      </c>
      <c r="F666" s="23" t="s">
        <v>553</v>
      </c>
      <c r="G666" s="24" t="str">
        <f>VLOOKUP(F666,teams_owners!A:B,2,FALSE)</f>
        <v>Joe Wilko</v>
      </c>
      <c r="H666" s="29">
        <v>173.82</v>
      </c>
      <c r="I666">
        <v>146.79</v>
      </c>
      <c r="J666" s="29">
        <v>143.15</v>
      </c>
    </row>
    <row r="667" spans="1:10" ht="14.25" customHeight="1" x14ac:dyDescent="0.25">
      <c r="A667" s="23" t="s">
        <v>558</v>
      </c>
      <c r="B667" s="23" t="s">
        <v>46</v>
      </c>
      <c r="C667" s="23" t="s">
        <v>554</v>
      </c>
      <c r="D667" s="24" t="str">
        <f>VLOOKUP(C667,teams_owners!A:B,2,FALSE)</f>
        <v>Fiona Kerry</v>
      </c>
      <c r="E667" s="29">
        <v>129.36000000000001</v>
      </c>
      <c r="F667" s="23" t="s">
        <v>67</v>
      </c>
      <c r="G667" s="24" t="str">
        <f>VLOOKUP(F667,teams_owners!A:B,2,FALSE)</f>
        <v>Rob Connet</v>
      </c>
      <c r="H667" s="29">
        <v>151.88</v>
      </c>
      <c r="I667">
        <v>152.25</v>
      </c>
      <c r="J667" s="29">
        <v>150.81</v>
      </c>
    </row>
    <row r="668" spans="1:10" ht="14.25" customHeight="1" x14ac:dyDescent="0.25">
      <c r="A668" s="23"/>
      <c r="B668" s="23"/>
      <c r="C668" s="23"/>
      <c r="D668" s="24"/>
      <c r="F668" s="23"/>
    </row>
    <row r="669" spans="1:10" ht="14.25" customHeight="1" x14ac:dyDescent="0.25">
      <c r="A669" s="23"/>
      <c r="B669" s="23"/>
      <c r="C669" s="23"/>
      <c r="D669" s="24"/>
      <c r="F669" s="23"/>
    </row>
    <row r="670" spans="1:10" ht="14.25" customHeight="1" x14ac:dyDescent="0.25">
      <c r="A670" s="23"/>
      <c r="B670" s="23"/>
      <c r="C670" s="23"/>
      <c r="D670" s="24"/>
      <c r="F670" s="23"/>
    </row>
    <row r="671" spans="1:10" ht="14.25" customHeight="1" x14ac:dyDescent="0.25">
      <c r="A671" s="23"/>
      <c r="B671" s="23"/>
      <c r="C671" s="23"/>
      <c r="D671" s="24"/>
      <c r="F671" s="23"/>
    </row>
    <row r="672" spans="1:10" ht="14.25" customHeight="1" x14ac:dyDescent="0.25">
      <c r="A672" s="23"/>
      <c r="B672" s="23"/>
      <c r="C672" s="23"/>
      <c r="D672" s="24"/>
      <c r="F672" s="23"/>
    </row>
    <row r="673" spans="1:6" ht="14.25" customHeight="1" x14ac:dyDescent="0.25">
      <c r="A673" s="23"/>
      <c r="B673" s="23"/>
      <c r="C673" s="23"/>
      <c r="D673" s="24"/>
      <c r="F673" s="23"/>
    </row>
    <row r="674" spans="1:6" ht="14.25" customHeight="1" x14ac:dyDescent="0.25">
      <c r="A674" s="23"/>
      <c r="B674" s="23"/>
      <c r="C674" s="23"/>
      <c r="D674" s="24"/>
      <c r="F674" s="23"/>
    </row>
    <row r="675" spans="1:6" ht="14.25" customHeight="1" x14ac:dyDescent="0.25">
      <c r="A675" s="23"/>
      <c r="B675" s="23"/>
      <c r="C675" s="23"/>
      <c r="D675" s="24"/>
      <c r="F675" s="23"/>
    </row>
    <row r="676" spans="1:6" ht="14.25" customHeight="1" x14ac:dyDescent="0.25">
      <c r="A676" s="23"/>
      <c r="B676" s="23"/>
      <c r="C676" s="23"/>
      <c r="D676" s="24"/>
      <c r="F676" s="23"/>
    </row>
    <row r="677" spans="1:6" ht="14.25" customHeight="1" x14ac:dyDescent="0.25">
      <c r="A677" s="23"/>
      <c r="B677" s="23"/>
      <c r="C677" s="23"/>
      <c r="D677" s="24"/>
      <c r="F677" s="23"/>
    </row>
    <row r="678" spans="1:6" ht="14.25" customHeight="1" x14ac:dyDescent="0.25">
      <c r="A678" s="23"/>
      <c r="B678" s="23"/>
      <c r="C678" s="23"/>
      <c r="D678" s="24"/>
      <c r="F678" s="23"/>
    </row>
    <row r="679" spans="1:6" ht="14.25" customHeight="1" x14ac:dyDescent="0.25">
      <c r="A679" s="23"/>
      <c r="B679" s="23"/>
      <c r="C679" s="23"/>
      <c r="D679" s="24"/>
      <c r="F679" s="23"/>
    </row>
    <row r="680" spans="1:6" ht="14.25" customHeight="1" x14ac:dyDescent="0.25">
      <c r="A680" s="23"/>
      <c r="B680" s="23"/>
      <c r="C680" s="23"/>
      <c r="D680" s="24"/>
      <c r="F680" s="23"/>
    </row>
    <row r="681" spans="1:6" ht="14.25" customHeight="1" x14ac:dyDescent="0.25">
      <c r="A681" s="23"/>
      <c r="B681" s="23"/>
      <c r="C681" s="23"/>
      <c r="D681" s="24"/>
      <c r="F681" s="23"/>
    </row>
    <row r="682" spans="1:6" ht="14.25" customHeight="1" x14ac:dyDescent="0.25">
      <c r="A682" s="23"/>
      <c r="B682" s="23"/>
      <c r="C682" s="23"/>
      <c r="D682" s="24"/>
      <c r="F682" s="23"/>
    </row>
    <row r="683" spans="1:6" ht="14.25" customHeight="1" x14ac:dyDescent="0.25">
      <c r="A683" s="23"/>
      <c r="B683" s="23"/>
      <c r="C683" s="23"/>
      <c r="D683" s="24"/>
      <c r="F683" s="23"/>
    </row>
    <row r="684" spans="1:6" ht="14.25" customHeight="1" x14ac:dyDescent="0.25">
      <c r="A684" s="23"/>
      <c r="B684" s="23"/>
      <c r="C684" s="23"/>
      <c r="D684" s="24"/>
      <c r="F684" s="23"/>
    </row>
    <row r="685" spans="1:6" ht="14.25" customHeight="1" x14ac:dyDescent="0.25">
      <c r="A685" s="23"/>
      <c r="B685" s="23"/>
      <c r="C685" s="23"/>
      <c r="D685" s="24"/>
      <c r="F685" s="23"/>
    </row>
    <row r="686" spans="1:6" ht="14.25" customHeight="1" x14ac:dyDescent="0.25">
      <c r="A686" s="23"/>
      <c r="B686" s="23"/>
      <c r="C686" s="23"/>
      <c r="D686" s="24"/>
      <c r="F686" s="23"/>
    </row>
    <row r="687" spans="1:6" ht="14.25" customHeight="1" x14ac:dyDescent="0.25">
      <c r="A687" s="23"/>
      <c r="B687" s="23"/>
      <c r="C687" s="23"/>
      <c r="D687" s="24"/>
      <c r="F687" s="23"/>
    </row>
    <row r="688" spans="1:6" ht="14.25" customHeight="1" x14ac:dyDescent="0.25">
      <c r="A688" s="23"/>
      <c r="B688" s="23"/>
      <c r="C688" s="23"/>
      <c r="D688" s="24"/>
      <c r="F688" s="23"/>
    </row>
    <row r="689" spans="1:6" ht="14.25" customHeight="1" x14ac:dyDescent="0.25">
      <c r="A689" s="23"/>
      <c r="B689" s="23"/>
      <c r="C689" s="23"/>
      <c r="D689" s="24"/>
      <c r="F689" s="23"/>
    </row>
    <row r="690" spans="1:6" ht="14.25" customHeight="1" x14ac:dyDescent="0.25">
      <c r="A690" s="23"/>
      <c r="B690" s="23"/>
      <c r="C690" s="23"/>
      <c r="D690" s="24"/>
      <c r="F690" s="23"/>
    </row>
    <row r="691" spans="1:6" ht="14.25" customHeight="1" x14ac:dyDescent="0.25">
      <c r="A691" s="23"/>
      <c r="B691" s="23"/>
      <c r="C691" s="23"/>
      <c r="D691" s="24"/>
      <c r="F691" s="23"/>
    </row>
    <row r="692" spans="1:6" ht="14.25" customHeight="1" x14ac:dyDescent="0.25">
      <c r="A692" s="23"/>
      <c r="B692" s="23"/>
      <c r="C692" s="23"/>
      <c r="D692" s="24"/>
      <c r="F692" s="23"/>
    </row>
    <row r="693" spans="1:6" ht="14.25" customHeight="1" x14ac:dyDescent="0.25">
      <c r="A693" s="23"/>
      <c r="B693" s="23"/>
      <c r="C693" s="23"/>
      <c r="D693" s="24"/>
      <c r="F693" s="23"/>
    </row>
    <row r="694" spans="1:6" ht="14.25" customHeight="1" x14ac:dyDescent="0.25">
      <c r="A694" s="23"/>
      <c r="B694" s="23"/>
      <c r="C694" s="23"/>
      <c r="D694" s="24"/>
      <c r="F694" s="23"/>
    </row>
    <row r="695" spans="1:6" ht="14.25" customHeight="1" x14ac:dyDescent="0.25">
      <c r="A695" s="23"/>
      <c r="B695" s="23"/>
      <c r="C695" s="23"/>
      <c r="D695" s="24"/>
      <c r="F695" s="23"/>
    </row>
    <row r="696" spans="1:6" ht="14.25" customHeight="1" x14ac:dyDescent="0.25">
      <c r="A696" s="23"/>
      <c r="B696" s="23"/>
      <c r="C696" s="23"/>
      <c r="D696" s="24"/>
      <c r="F696" s="23"/>
    </row>
    <row r="697" spans="1:6" ht="14.25" customHeight="1" x14ac:dyDescent="0.25">
      <c r="A697" s="23"/>
      <c r="B697" s="23"/>
      <c r="C697" s="23"/>
      <c r="D697" s="24"/>
      <c r="F697" s="23"/>
    </row>
    <row r="698" spans="1:6" ht="14.25" customHeight="1" x14ac:dyDescent="0.25">
      <c r="A698" s="23"/>
      <c r="B698" s="23"/>
      <c r="C698" s="23"/>
      <c r="D698" s="24"/>
      <c r="F698" s="23"/>
    </row>
    <row r="699" spans="1:6" ht="14.25" customHeight="1" x14ac:dyDescent="0.25">
      <c r="A699" s="23"/>
      <c r="B699" s="23"/>
      <c r="C699" s="23"/>
      <c r="D699" s="24"/>
      <c r="F699" s="23"/>
    </row>
    <row r="700" spans="1:6" ht="14.25" customHeight="1" x14ac:dyDescent="0.25">
      <c r="A700" s="23"/>
      <c r="B700" s="23"/>
      <c r="C700" s="23"/>
      <c r="D700" s="24"/>
      <c r="F700" s="23"/>
    </row>
    <row r="701" spans="1:6" ht="14.25" customHeight="1" x14ac:dyDescent="0.25">
      <c r="A701" s="23"/>
      <c r="B701" s="23"/>
      <c r="C701" s="23"/>
      <c r="D701" s="24"/>
      <c r="F701" s="23"/>
    </row>
    <row r="702" spans="1:6" ht="14.25" customHeight="1" x14ac:dyDescent="0.25">
      <c r="A702" s="23"/>
      <c r="B702" s="23"/>
      <c r="C702" s="23"/>
      <c r="D702" s="24"/>
      <c r="F702" s="23"/>
    </row>
    <row r="703" spans="1:6" ht="14.25" customHeight="1" x14ac:dyDescent="0.25">
      <c r="A703" s="23"/>
      <c r="B703" s="23"/>
      <c r="C703" s="23"/>
      <c r="D703" s="24"/>
      <c r="F703" s="23"/>
    </row>
    <row r="704" spans="1:6" ht="14.25" customHeight="1" x14ac:dyDescent="0.25">
      <c r="A704" s="23"/>
      <c r="B704" s="23"/>
      <c r="C704" s="23"/>
      <c r="D704" s="24"/>
      <c r="F704" s="23"/>
    </row>
    <row r="705" spans="1:6" ht="14.25" customHeight="1" x14ac:dyDescent="0.25">
      <c r="A705" s="23"/>
      <c r="B705" s="23"/>
      <c r="C705" s="23"/>
      <c r="D705" s="24"/>
      <c r="F705" s="23"/>
    </row>
    <row r="706" spans="1:6" ht="14.25" customHeight="1" x14ac:dyDescent="0.25">
      <c r="A706" s="23"/>
      <c r="B706" s="23"/>
      <c r="C706" s="23"/>
      <c r="D706" s="24"/>
      <c r="F706" s="23"/>
    </row>
    <row r="707" spans="1:6" ht="14.25" customHeight="1" x14ac:dyDescent="0.25">
      <c r="A707" s="23"/>
      <c r="B707" s="23"/>
      <c r="C707" s="23"/>
      <c r="D707" s="24"/>
      <c r="F707" s="23"/>
    </row>
    <row r="708" spans="1:6" ht="14.25" customHeight="1" x14ac:dyDescent="0.25">
      <c r="A708" s="23"/>
      <c r="B708" s="23"/>
      <c r="C708" s="23"/>
      <c r="D708" s="24"/>
      <c r="F708" s="23"/>
    </row>
    <row r="709" spans="1:6" ht="14.25" customHeight="1" x14ac:dyDescent="0.25">
      <c r="A709" s="23"/>
      <c r="B709" s="23"/>
      <c r="C709" s="23"/>
      <c r="D709" s="24"/>
      <c r="F709" s="23"/>
    </row>
    <row r="710" spans="1:6" ht="14.25" customHeight="1" x14ac:dyDescent="0.25">
      <c r="A710" s="23"/>
      <c r="B710" s="23"/>
      <c r="C710" s="23"/>
      <c r="D710" s="24"/>
      <c r="F710" s="23"/>
    </row>
    <row r="711" spans="1:6" ht="14.25" customHeight="1" x14ac:dyDescent="0.25">
      <c r="A711" s="23"/>
      <c r="B711" s="23"/>
      <c r="C711" s="23"/>
      <c r="D711" s="24"/>
      <c r="F711" s="23"/>
    </row>
    <row r="712" spans="1:6" ht="14.25" customHeight="1" x14ac:dyDescent="0.25">
      <c r="A712" s="23"/>
      <c r="B712" s="23"/>
      <c r="C712" s="23"/>
      <c r="D712" s="24"/>
      <c r="F712" s="23"/>
    </row>
    <row r="713" spans="1:6" ht="14.25" customHeight="1" x14ac:dyDescent="0.25">
      <c r="A713" s="23"/>
      <c r="B713" s="23"/>
      <c r="C713" s="23"/>
      <c r="D713" s="24"/>
      <c r="F713" s="23"/>
    </row>
    <row r="714" spans="1:6" ht="14.25" customHeight="1" x14ac:dyDescent="0.25">
      <c r="A714" s="23"/>
      <c r="B714" s="23"/>
      <c r="C714" s="23"/>
      <c r="D714" s="24"/>
      <c r="F714" s="23"/>
    </row>
    <row r="715" spans="1:6" ht="14.25" customHeight="1" x14ac:dyDescent="0.25">
      <c r="A715" s="23"/>
      <c r="B715" s="23"/>
      <c r="C715" s="23"/>
      <c r="D715" s="24"/>
      <c r="F715" s="23"/>
    </row>
    <row r="716" spans="1:6" ht="14.25" customHeight="1" x14ac:dyDescent="0.25">
      <c r="A716" s="23"/>
      <c r="B716" s="23"/>
      <c r="C716" s="23"/>
      <c r="D716" s="24"/>
      <c r="F716" s="23"/>
    </row>
    <row r="717" spans="1:6" ht="14.25" customHeight="1" x14ac:dyDescent="0.25">
      <c r="A717" s="23"/>
      <c r="B717" s="23"/>
      <c r="C717" s="23"/>
      <c r="D717" s="24"/>
      <c r="F717" s="23"/>
    </row>
    <row r="718" spans="1:6" ht="14.25" customHeight="1" x14ac:dyDescent="0.25">
      <c r="A718" s="23"/>
      <c r="B718" s="23"/>
      <c r="C718" s="23"/>
      <c r="D718" s="24"/>
      <c r="F718" s="23"/>
    </row>
    <row r="719" spans="1:6" ht="14.25" customHeight="1" x14ac:dyDescent="0.25">
      <c r="A719" s="23"/>
      <c r="B719" s="23"/>
      <c r="C719" s="23"/>
      <c r="D719" s="24"/>
      <c r="F719" s="23"/>
    </row>
    <row r="720" spans="1:6" ht="14.25" customHeight="1" x14ac:dyDescent="0.25">
      <c r="A720" s="23"/>
      <c r="B720" s="23"/>
      <c r="C720" s="23"/>
      <c r="D720" s="24"/>
      <c r="F720" s="23"/>
    </row>
    <row r="721" spans="1:6" ht="14.25" customHeight="1" x14ac:dyDescent="0.25">
      <c r="A721" s="23"/>
      <c r="B721" s="23"/>
      <c r="C721" s="23"/>
      <c r="D721" s="24"/>
      <c r="F721" s="23"/>
    </row>
    <row r="722" spans="1:6" ht="14.25" customHeight="1" x14ac:dyDescent="0.25">
      <c r="A722" s="23"/>
      <c r="B722" s="23"/>
      <c r="C722" s="23"/>
      <c r="D722" s="24"/>
      <c r="F722" s="23"/>
    </row>
    <row r="723" spans="1:6" ht="14.25" customHeight="1" x14ac:dyDescent="0.25">
      <c r="A723" s="23"/>
      <c r="B723" s="23"/>
      <c r="C723" s="23"/>
      <c r="D723" s="24"/>
      <c r="F723" s="23"/>
    </row>
    <row r="724" spans="1:6" ht="14.25" customHeight="1" x14ac:dyDescent="0.25">
      <c r="A724" s="23"/>
      <c r="B724" s="23"/>
      <c r="C724" s="23"/>
      <c r="D724" s="24"/>
      <c r="F724" s="23"/>
    </row>
    <row r="725" spans="1:6" ht="14.25" customHeight="1" x14ac:dyDescent="0.25">
      <c r="A725" s="23"/>
      <c r="B725" s="23"/>
      <c r="C725" s="23"/>
      <c r="D725" s="24"/>
      <c r="F725" s="23"/>
    </row>
    <row r="726" spans="1:6" ht="14.25" customHeight="1" x14ac:dyDescent="0.25">
      <c r="A726" s="23"/>
      <c r="B726" s="23"/>
      <c r="C726" s="23"/>
      <c r="D726" s="24"/>
      <c r="F726" s="23"/>
    </row>
    <row r="727" spans="1:6" ht="14.25" customHeight="1" x14ac:dyDescent="0.25">
      <c r="A727" s="23"/>
      <c r="B727" s="23"/>
      <c r="C727" s="23"/>
      <c r="D727" s="24"/>
      <c r="F727" s="23"/>
    </row>
    <row r="728" spans="1:6" ht="14.25" customHeight="1" x14ac:dyDescent="0.25">
      <c r="A728" s="23"/>
      <c r="B728" s="23"/>
      <c r="C728" s="23"/>
      <c r="D728" s="24"/>
      <c r="F728" s="23"/>
    </row>
    <row r="729" spans="1:6" ht="14.25" customHeight="1" x14ac:dyDescent="0.25">
      <c r="A729" s="23"/>
      <c r="B729" s="23"/>
      <c r="C729" s="23"/>
      <c r="D729" s="24"/>
      <c r="F729" s="23"/>
    </row>
    <row r="730" spans="1:6" ht="14.25" customHeight="1" x14ac:dyDescent="0.25">
      <c r="A730" s="23"/>
      <c r="B730" s="23"/>
      <c r="C730" s="23"/>
      <c r="D730" s="24"/>
      <c r="F730" s="23"/>
    </row>
    <row r="731" spans="1:6" ht="14.25" customHeight="1" x14ac:dyDescent="0.25">
      <c r="A731" s="23"/>
      <c r="B731" s="23"/>
      <c r="C731" s="23"/>
      <c r="D731" s="24"/>
      <c r="F731" s="23"/>
    </row>
    <row r="732" spans="1:6" ht="14.25" customHeight="1" x14ac:dyDescent="0.25">
      <c r="A732" s="23"/>
      <c r="B732" s="23"/>
      <c r="C732" s="23"/>
      <c r="D732" s="24"/>
      <c r="F732" s="23"/>
    </row>
    <row r="733" spans="1:6" ht="14.25" customHeight="1" x14ac:dyDescent="0.25">
      <c r="A733" s="23"/>
      <c r="B733" s="23"/>
      <c r="C733" s="23"/>
      <c r="D733" s="24"/>
      <c r="F733" s="23"/>
    </row>
    <row r="734" spans="1:6" ht="14.25" customHeight="1" x14ac:dyDescent="0.25">
      <c r="A734" s="23"/>
      <c r="B734" s="23"/>
      <c r="C734" s="23"/>
      <c r="D734" s="24"/>
      <c r="F734" s="23"/>
    </row>
    <row r="735" spans="1:6" ht="14.25" customHeight="1" x14ac:dyDescent="0.25">
      <c r="A735" s="23"/>
      <c r="B735" s="23"/>
      <c r="C735" s="23"/>
      <c r="D735" s="24"/>
      <c r="F735" s="23"/>
    </row>
    <row r="736" spans="1:6" ht="14.25" customHeight="1" x14ac:dyDescent="0.25">
      <c r="A736" s="23"/>
      <c r="B736" s="23"/>
      <c r="C736" s="23"/>
      <c r="D736" s="24"/>
      <c r="F736" s="23"/>
    </row>
    <row r="737" spans="1:6" ht="14.25" customHeight="1" x14ac:dyDescent="0.25">
      <c r="A737" s="23"/>
      <c r="B737" s="23"/>
      <c r="C737" s="23"/>
      <c r="D737" s="24"/>
      <c r="F737" s="23"/>
    </row>
    <row r="738" spans="1:6" ht="14.25" customHeight="1" x14ac:dyDescent="0.25">
      <c r="A738" s="23"/>
      <c r="B738" s="23"/>
      <c r="C738" s="23"/>
      <c r="D738" s="24"/>
      <c r="F738" s="23"/>
    </row>
    <row r="739" spans="1:6" ht="14.25" customHeight="1" x14ac:dyDescent="0.25">
      <c r="A739" s="23"/>
      <c r="B739" s="23"/>
      <c r="C739" s="23"/>
      <c r="D739" s="24"/>
      <c r="F739" s="23"/>
    </row>
    <row r="740" spans="1:6" ht="14.25" customHeight="1" x14ac:dyDescent="0.25">
      <c r="A740" s="23"/>
      <c r="B740" s="23"/>
      <c r="C740" s="23"/>
      <c r="D740" s="24"/>
      <c r="F740" s="23"/>
    </row>
    <row r="741" spans="1:6" ht="14.25" customHeight="1" x14ac:dyDescent="0.25">
      <c r="A741" s="23"/>
      <c r="B741" s="23"/>
      <c r="C741" s="23"/>
      <c r="D741" s="24"/>
      <c r="F741" s="23"/>
    </row>
    <row r="742" spans="1:6" ht="14.25" customHeight="1" x14ac:dyDescent="0.25">
      <c r="A742" s="23"/>
      <c r="B742" s="23"/>
      <c r="C742" s="23"/>
      <c r="D742" s="24"/>
      <c r="F742" s="23"/>
    </row>
    <row r="743" spans="1:6" ht="14.25" customHeight="1" x14ac:dyDescent="0.25">
      <c r="A743" s="23"/>
      <c r="B743" s="23"/>
      <c r="C743" s="23"/>
      <c r="D743" s="24"/>
      <c r="F743" s="23"/>
    </row>
    <row r="744" spans="1:6" ht="14.25" customHeight="1" x14ac:dyDescent="0.25">
      <c r="A744" s="23"/>
      <c r="B744" s="23"/>
      <c r="C744" s="23"/>
      <c r="D744" s="24"/>
      <c r="F744" s="23"/>
    </row>
    <row r="745" spans="1:6" ht="14.25" customHeight="1" x14ac:dyDescent="0.25">
      <c r="A745" s="23"/>
      <c r="B745" s="23"/>
      <c r="C745" s="23"/>
      <c r="D745" s="24"/>
      <c r="F745" s="23"/>
    </row>
    <row r="746" spans="1:6" ht="14.25" customHeight="1" x14ac:dyDescent="0.25">
      <c r="A746" s="23"/>
      <c r="B746" s="23"/>
      <c r="C746" s="23"/>
      <c r="D746" s="24"/>
      <c r="F746" s="23"/>
    </row>
    <row r="747" spans="1:6" ht="14.25" customHeight="1" x14ac:dyDescent="0.25">
      <c r="A747" s="23"/>
      <c r="B747" s="23"/>
      <c r="C747" s="23"/>
      <c r="D747" s="24"/>
      <c r="F747" s="23"/>
    </row>
    <row r="748" spans="1:6" ht="14.25" customHeight="1" x14ac:dyDescent="0.25">
      <c r="A748" s="23"/>
      <c r="B748" s="23"/>
      <c r="C748" s="23"/>
      <c r="D748" s="24"/>
      <c r="F748" s="23"/>
    </row>
    <row r="749" spans="1:6" ht="14.25" customHeight="1" x14ac:dyDescent="0.25">
      <c r="A749" s="23"/>
      <c r="B749" s="23"/>
      <c r="C749" s="23"/>
      <c r="D749" s="24"/>
      <c r="F749" s="23"/>
    </row>
    <row r="750" spans="1:6" ht="14.25" customHeight="1" x14ac:dyDescent="0.25">
      <c r="A750" s="23"/>
      <c r="B750" s="23"/>
      <c r="C750" s="23"/>
      <c r="D750" s="24"/>
      <c r="F750" s="23"/>
    </row>
    <row r="751" spans="1:6" ht="14.25" customHeight="1" x14ac:dyDescent="0.25">
      <c r="A751" s="23"/>
      <c r="B751" s="23"/>
      <c r="C751" s="23"/>
      <c r="D751" s="24"/>
      <c r="F751" s="23"/>
    </row>
    <row r="752" spans="1:6" ht="14.25" customHeight="1" x14ac:dyDescent="0.25">
      <c r="A752" s="23"/>
      <c r="B752" s="23"/>
      <c r="C752" s="23"/>
      <c r="D752" s="24"/>
      <c r="F752" s="23"/>
    </row>
    <row r="753" spans="1:6" ht="14.25" customHeight="1" x14ac:dyDescent="0.25">
      <c r="A753" s="23"/>
      <c r="B753" s="23"/>
      <c r="C753" s="23"/>
      <c r="D753" s="24"/>
      <c r="F753" s="23"/>
    </row>
    <row r="754" spans="1:6" ht="14.25" customHeight="1" x14ac:dyDescent="0.25">
      <c r="A754" s="23"/>
      <c r="B754" s="23"/>
      <c r="C754" s="23"/>
      <c r="D754" s="24"/>
      <c r="F754" s="23"/>
    </row>
    <row r="755" spans="1:6" ht="14.25" customHeight="1" x14ac:dyDescent="0.25">
      <c r="A755" s="23"/>
      <c r="B755" s="23"/>
      <c r="C755" s="23"/>
      <c r="D755" s="24"/>
      <c r="F755" s="23"/>
    </row>
    <row r="756" spans="1:6" ht="14.25" customHeight="1" x14ac:dyDescent="0.25">
      <c r="A756" s="23"/>
      <c r="B756" s="23"/>
      <c r="C756" s="23"/>
      <c r="D756" s="24"/>
      <c r="F756" s="23"/>
    </row>
    <row r="757" spans="1:6" ht="14.25" customHeight="1" x14ac:dyDescent="0.25">
      <c r="A757" s="23"/>
      <c r="B757" s="23"/>
      <c r="C757" s="23"/>
      <c r="D757" s="24"/>
      <c r="F757" s="23"/>
    </row>
    <row r="758" spans="1:6" ht="14.25" customHeight="1" x14ac:dyDescent="0.25">
      <c r="A758" s="23"/>
      <c r="B758" s="23"/>
      <c r="C758" s="23"/>
      <c r="D758" s="24"/>
      <c r="F758" s="23"/>
    </row>
    <row r="759" spans="1:6" ht="14.25" customHeight="1" x14ac:dyDescent="0.25">
      <c r="A759" s="23"/>
      <c r="B759" s="23"/>
      <c r="C759" s="23"/>
      <c r="D759" s="24"/>
      <c r="F759" s="23"/>
    </row>
    <row r="760" spans="1:6" ht="14.25" customHeight="1" x14ac:dyDescent="0.25">
      <c r="A760" s="23"/>
      <c r="B760" s="23"/>
      <c r="C760" s="23"/>
      <c r="D760" s="24"/>
      <c r="F760" s="23"/>
    </row>
    <row r="761" spans="1:6" ht="14.25" customHeight="1" x14ac:dyDescent="0.25">
      <c r="A761" s="23"/>
      <c r="B761" s="23"/>
      <c r="C761" s="23"/>
      <c r="D761" s="24"/>
      <c r="F761" s="23"/>
    </row>
    <row r="762" spans="1:6" ht="14.25" customHeight="1" x14ac:dyDescent="0.25">
      <c r="A762" s="23"/>
      <c r="B762" s="23"/>
      <c r="C762" s="23"/>
      <c r="D762" s="24"/>
      <c r="F762" s="23"/>
    </row>
    <row r="763" spans="1:6" ht="14.25" customHeight="1" x14ac:dyDescent="0.25">
      <c r="A763" s="23"/>
      <c r="B763" s="23"/>
      <c r="C763" s="23"/>
      <c r="D763" s="24"/>
      <c r="F763" s="23"/>
    </row>
    <row r="764" spans="1:6" ht="14.25" customHeight="1" x14ac:dyDescent="0.25">
      <c r="A764" s="23"/>
      <c r="B764" s="23"/>
      <c r="C764" s="23"/>
      <c r="D764" s="24"/>
      <c r="F764" s="23"/>
    </row>
    <row r="765" spans="1:6" ht="14.25" customHeight="1" x14ac:dyDescent="0.25">
      <c r="A765" s="23"/>
      <c r="B765" s="23"/>
      <c r="C765" s="23"/>
      <c r="D765" s="24"/>
      <c r="F765" s="23"/>
    </row>
    <row r="766" spans="1:6" ht="14.25" customHeight="1" x14ac:dyDescent="0.25">
      <c r="A766" s="23"/>
      <c r="B766" s="23"/>
      <c r="C766" s="23"/>
      <c r="D766" s="24"/>
      <c r="F766" s="23"/>
    </row>
    <row r="767" spans="1:6" ht="14.25" customHeight="1" x14ac:dyDescent="0.25">
      <c r="A767" s="23"/>
      <c r="B767" s="23"/>
      <c r="C767" s="23"/>
      <c r="D767" s="24"/>
      <c r="F767" s="23"/>
    </row>
    <row r="768" spans="1:6" ht="14.25" customHeight="1" x14ac:dyDescent="0.25">
      <c r="A768" s="23"/>
      <c r="B768" s="23"/>
      <c r="C768" s="23"/>
      <c r="D768" s="24"/>
      <c r="F768" s="23"/>
    </row>
    <row r="769" spans="1:6" ht="14.25" customHeight="1" x14ac:dyDescent="0.25">
      <c r="A769" s="23"/>
      <c r="B769" s="23"/>
      <c r="C769" s="23"/>
      <c r="D769" s="24"/>
      <c r="F769" s="23"/>
    </row>
    <row r="770" spans="1:6" ht="14.25" customHeight="1" x14ac:dyDescent="0.25">
      <c r="A770" s="23"/>
      <c r="B770" s="23"/>
      <c r="C770" s="23"/>
      <c r="D770" s="24"/>
      <c r="F770" s="23"/>
    </row>
    <row r="771" spans="1:6" ht="14.25" customHeight="1" x14ac:dyDescent="0.25">
      <c r="A771" s="23"/>
      <c r="B771" s="23"/>
      <c r="C771" s="23"/>
      <c r="D771" s="24"/>
      <c r="F771" s="23"/>
    </row>
    <row r="772" spans="1:6" ht="14.25" customHeight="1" x14ac:dyDescent="0.25">
      <c r="A772" s="23"/>
      <c r="B772" s="23"/>
      <c r="C772" s="23"/>
      <c r="D772" s="24"/>
      <c r="F772" s="23"/>
    </row>
    <row r="773" spans="1:6" ht="14.25" customHeight="1" x14ac:dyDescent="0.25">
      <c r="A773" s="23"/>
      <c r="B773" s="23"/>
      <c r="C773" s="23"/>
      <c r="D773" s="24"/>
      <c r="F773" s="23"/>
    </row>
    <row r="774" spans="1:6" ht="14.25" customHeight="1" x14ac:dyDescent="0.25">
      <c r="A774" s="23"/>
      <c r="B774" s="23"/>
      <c r="C774" s="23"/>
      <c r="D774" s="24"/>
      <c r="F774" s="23"/>
    </row>
    <row r="775" spans="1:6" ht="14.25" customHeight="1" x14ac:dyDescent="0.25">
      <c r="A775" s="23"/>
      <c r="B775" s="23"/>
      <c r="C775" s="23"/>
      <c r="D775" s="24"/>
      <c r="F775" s="23"/>
    </row>
    <row r="776" spans="1:6" ht="14.25" customHeight="1" x14ac:dyDescent="0.25">
      <c r="A776" s="23"/>
      <c r="B776" s="23"/>
      <c r="C776" s="23"/>
      <c r="D776" s="24"/>
      <c r="F776" s="23"/>
    </row>
    <row r="777" spans="1:6" ht="14.25" customHeight="1" x14ac:dyDescent="0.25">
      <c r="A777" s="23"/>
      <c r="B777" s="23"/>
      <c r="C777" s="23"/>
      <c r="D777" s="24"/>
      <c r="F777" s="23"/>
    </row>
    <row r="778" spans="1:6" ht="14.25" customHeight="1" x14ac:dyDescent="0.25">
      <c r="A778" s="23"/>
      <c r="B778" s="23"/>
      <c r="C778" s="23"/>
      <c r="D778" s="24"/>
      <c r="F778" s="23"/>
    </row>
    <row r="779" spans="1:6" ht="14.25" customHeight="1" x14ac:dyDescent="0.25">
      <c r="A779" s="23"/>
      <c r="B779" s="23"/>
      <c r="C779" s="23"/>
      <c r="D779" s="24"/>
      <c r="F779" s="23"/>
    </row>
    <row r="780" spans="1:6" ht="14.25" customHeight="1" x14ac:dyDescent="0.25">
      <c r="A780" s="23"/>
      <c r="B780" s="23"/>
      <c r="C780" s="23"/>
      <c r="D780" s="24"/>
      <c r="F780" s="23"/>
    </row>
    <row r="781" spans="1:6" ht="14.25" customHeight="1" x14ac:dyDescent="0.25">
      <c r="A781" s="23"/>
      <c r="B781" s="23"/>
      <c r="C781" s="23"/>
      <c r="D781" s="24"/>
      <c r="F781" s="23"/>
    </row>
    <row r="782" spans="1:6" ht="14.25" customHeight="1" x14ac:dyDescent="0.25">
      <c r="A782" s="23"/>
      <c r="B782" s="23"/>
      <c r="C782" s="23"/>
      <c r="D782" s="24"/>
      <c r="F782" s="23"/>
    </row>
    <row r="783" spans="1:6" ht="14.25" customHeight="1" x14ac:dyDescent="0.25">
      <c r="A783" s="23"/>
      <c r="B783" s="23"/>
      <c r="C783" s="23"/>
      <c r="D783" s="24"/>
      <c r="F783" s="23"/>
    </row>
    <row r="784" spans="1:6" ht="14.25" customHeight="1" x14ac:dyDescent="0.25">
      <c r="A784" s="23"/>
      <c r="B784" s="23"/>
      <c r="C784" s="23"/>
      <c r="D784" s="24"/>
      <c r="F784" s="23"/>
    </row>
    <row r="785" spans="1:6" ht="14.25" customHeight="1" x14ac:dyDescent="0.25">
      <c r="A785" s="23"/>
      <c r="B785" s="23"/>
      <c r="C785" s="23"/>
      <c r="D785" s="24"/>
      <c r="F785" s="23"/>
    </row>
    <row r="786" spans="1:6" ht="14.25" customHeight="1" x14ac:dyDescent="0.25">
      <c r="A786" s="23"/>
      <c r="B786" s="23"/>
      <c r="C786" s="23"/>
      <c r="D786" s="24"/>
      <c r="F786" s="23"/>
    </row>
    <row r="787" spans="1:6" ht="14.25" customHeight="1" x14ac:dyDescent="0.25">
      <c r="A787" s="23"/>
      <c r="B787" s="23"/>
      <c r="C787" s="23"/>
      <c r="D787" s="24"/>
      <c r="F787" s="23"/>
    </row>
    <row r="788" spans="1:6" ht="14.25" customHeight="1" x14ac:dyDescent="0.25">
      <c r="A788" s="23"/>
      <c r="B788" s="23"/>
      <c r="C788" s="23"/>
      <c r="D788" s="24"/>
      <c r="F788" s="23"/>
    </row>
    <row r="789" spans="1:6" ht="14.25" customHeight="1" x14ac:dyDescent="0.25">
      <c r="A789" s="23"/>
      <c r="B789" s="23"/>
      <c r="C789" s="23"/>
      <c r="D789" s="24"/>
      <c r="F789" s="23"/>
    </row>
    <row r="790" spans="1:6" ht="14.25" customHeight="1" x14ac:dyDescent="0.25">
      <c r="A790" s="23"/>
      <c r="B790" s="23"/>
      <c r="C790" s="23"/>
      <c r="D790" s="24"/>
      <c r="F790" s="23"/>
    </row>
    <row r="791" spans="1:6" ht="14.25" customHeight="1" x14ac:dyDescent="0.25">
      <c r="A791" s="23"/>
      <c r="B791" s="23"/>
      <c r="C791" s="23"/>
      <c r="D791" s="24"/>
      <c r="F791" s="23"/>
    </row>
    <row r="792" spans="1:6" ht="14.25" customHeight="1" x14ac:dyDescent="0.25">
      <c r="A792" s="23"/>
      <c r="B792" s="23"/>
      <c r="C792" s="23"/>
      <c r="D792" s="24"/>
      <c r="F792" s="23"/>
    </row>
    <row r="793" spans="1:6" ht="14.25" customHeight="1" x14ac:dyDescent="0.25">
      <c r="A793" s="23"/>
      <c r="B793" s="23"/>
      <c r="C793" s="23"/>
      <c r="D793" s="24"/>
      <c r="F793" s="23"/>
    </row>
    <row r="794" spans="1:6" ht="14.25" customHeight="1" x14ac:dyDescent="0.25">
      <c r="A794" s="23"/>
      <c r="B794" s="23"/>
      <c r="C794" s="23"/>
      <c r="D794" s="24"/>
      <c r="F794" s="23"/>
    </row>
    <row r="795" spans="1:6" ht="14.25" customHeight="1" x14ac:dyDescent="0.25">
      <c r="A795" s="23"/>
      <c r="B795" s="23"/>
      <c r="C795" s="23"/>
      <c r="D795" s="24"/>
      <c r="F795" s="23"/>
    </row>
    <row r="796" spans="1:6" ht="14.25" customHeight="1" x14ac:dyDescent="0.25">
      <c r="A796" s="23"/>
      <c r="B796" s="23"/>
      <c r="C796" s="23"/>
      <c r="D796" s="24"/>
      <c r="F796" s="23"/>
    </row>
    <row r="797" spans="1:6" ht="14.25" customHeight="1" x14ac:dyDescent="0.25">
      <c r="A797" s="23"/>
      <c r="B797" s="23"/>
      <c r="C797" s="23"/>
      <c r="D797" s="24"/>
      <c r="F797" s="23"/>
    </row>
    <row r="798" spans="1:6" ht="14.25" customHeight="1" x14ac:dyDescent="0.25">
      <c r="A798" s="23"/>
      <c r="B798" s="23"/>
      <c r="C798" s="23"/>
      <c r="D798" s="24"/>
      <c r="F798" s="23"/>
    </row>
    <row r="799" spans="1:6" ht="14.25" customHeight="1" x14ac:dyDescent="0.25">
      <c r="A799" s="23"/>
      <c r="B799" s="23"/>
      <c r="C799" s="23"/>
      <c r="D799" s="24"/>
      <c r="F799" s="23"/>
    </row>
    <row r="800" spans="1:6" ht="14.25" customHeight="1" x14ac:dyDescent="0.25">
      <c r="A800" s="23"/>
      <c r="B800" s="23"/>
      <c r="C800" s="23"/>
      <c r="D800" s="24"/>
      <c r="F800" s="23"/>
    </row>
    <row r="801" spans="1:6" ht="14.25" customHeight="1" x14ac:dyDescent="0.25">
      <c r="A801" s="23"/>
      <c r="B801" s="23"/>
      <c r="C801" s="23"/>
      <c r="D801" s="24"/>
      <c r="F801" s="23"/>
    </row>
    <row r="802" spans="1:6" ht="14.25" customHeight="1" x14ac:dyDescent="0.25">
      <c r="A802" s="23"/>
      <c r="B802" s="23"/>
      <c r="C802" s="23"/>
      <c r="D802" s="24"/>
      <c r="F802" s="23"/>
    </row>
    <row r="803" spans="1:6" ht="14.25" customHeight="1" x14ac:dyDescent="0.25">
      <c r="A803" s="23"/>
      <c r="B803" s="23"/>
      <c r="C803" s="23"/>
      <c r="D803" s="24"/>
      <c r="F803" s="23"/>
    </row>
    <row r="804" spans="1:6" ht="14.25" customHeight="1" x14ac:dyDescent="0.25">
      <c r="A804" s="23"/>
      <c r="B804" s="23"/>
      <c r="C804" s="23"/>
      <c r="D804" s="24"/>
      <c r="F804" s="23"/>
    </row>
    <row r="805" spans="1:6" ht="14.25" customHeight="1" x14ac:dyDescent="0.25">
      <c r="A805" s="23"/>
      <c r="B805" s="23"/>
      <c r="C805" s="23"/>
      <c r="D805" s="24"/>
      <c r="F805" s="23"/>
    </row>
    <row r="806" spans="1:6" ht="14.25" customHeight="1" x14ac:dyDescent="0.25">
      <c r="A806" s="23"/>
      <c r="B806" s="23"/>
      <c r="C806" s="23"/>
      <c r="D806" s="24"/>
      <c r="F806" s="23"/>
    </row>
  </sheetData>
  <autoFilter ref="A1:H631" xr:uid="{00000000-0001-0000-0100-000000000000}"/>
  <phoneticPr fontId="14" type="noConversion"/>
  <pageMargins left="0.7" right="0.7" top="0.75" bottom="0.75" header="0" footer="0"/>
  <pageSetup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C0CD6B3-263F-40B0-B598-5341D6EBA5CF}">
  <sheetPr>
    <tabColor rgb="FFFFC000"/>
  </sheetPr>
  <dimension ref="A1:H15"/>
  <sheetViews>
    <sheetView workbookViewId="0">
      <selection activeCell="G2" sqref="G2"/>
    </sheetView>
  </sheetViews>
  <sheetFormatPr defaultRowHeight="15" x14ac:dyDescent="0.25"/>
  <cols>
    <col min="1" max="1" width="7.28515625" bestFit="1" customWidth="1"/>
    <col min="2" max="2" width="11" bestFit="1" customWidth="1"/>
    <col min="3" max="3" width="25" bestFit="1" customWidth="1"/>
    <col min="4" max="4" width="16" bestFit="1" customWidth="1"/>
    <col min="5" max="5" width="12.28515625" bestFit="1" customWidth="1"/>
    <col min="6" max="6" width="17.28515625" bestFit="1" customWidth="1"/>
    <col min="7" max="7" width="16" bestFit="1" customWidth="1"/>
    <col min="8" max="8" width="11.85546875" bestFit="1" customWidth="1"/>
  </cols>
  <sheetData>
    <row r="1" spans="1:8" x14ac:dyDescent="0.25">
      <c r="A1" s="10" t="s">
        <v>10</v>
      </c>
      <c r="B1" s="10" t="s">
        <v>12</v>
      </c>
      <c r="C1" s="10" t="s">
        <v>13</v>
      </c>
      <c r="D1" s="11" t="s">
        <v>0</v>
      </c>
      <c r="E1" s="12" t="s">
        <v>548</v>
      </c>
      <c r="F1" s="10" t="s">
        <v>14</v>
      </c>
      <c r="G1" s="10" t="s">
        <v>0</v>
      </c>
      <c r="H1" s="12" t="s">
        <v>549</v>
      </c>
    </row>
    <row r="2" spans="1:8" x14ac:dyDescent="0.25">
      <c r="A2">
        <v>2024</v>
      </c>
      <c r="B2" s="13" t="s">
        <v>35</v>
      </c>
      <c r="C2" s="3" t="s">
        <v>502</v>
      </c>
      <c r="D2" t="s">
        <v>508</v>
      </c>
      <c r="E2">
        <v>142.38</v>
      </c>
      <c r="F2" s="33" t="s">
        <v>78</v>
      </c>
      <c r="G2" s="1" t="s">
        <v>520</v>
      </c>
      <c r="H2">
        <v>209.06</v>
      </c>
    </row>
    <row r="3" spans="1:8" x14ac:dyDescent="0.25">
      <c r="A3">
        <v>2023</v>
      </c>
      <c r="B3" s="13" t="s">
        <v>35</v>
      </c>
      <c r="C3" s="13" t="s">
        <v>498</v>
      </c>
      <c r="D3" t="s">
        <v>509</v>
      </c>
      <c r="E3">
        <v>165.02</v>
      </c>
      <c r="F3" s="3" t="s">
        <v>40</v>
      </c>
      <c r="G3" s="1" t="s">
        <v>528</v>
      </c>
      <c r="H3">
        <v>114.82</v>
      </c>
    </row>
    <row r="4" spans="1:8" x14ac:dyDescent="0.25">
      <c r="A4">
        <v>2022</v>
      </c>
      <c r="B4" s="4" t="s">
        <v>35</v>
      </c>
      <c r="C4" s="13" t="s">
        <v>498</v>
      </c>
      <c r="D4" t="s">
        <v>509</v>
      </c>
      <c r="E4">
        <v>106.1</v>
      </c>
      <c r="F4" s="13" t="s">
        <v>499</v>
      </c>
      <c r="G4" s="1" t="s">
        <v>530</v>
      </c>
      <c r="H4">
        <v>133.86000000000001</v>
      </c>
    </row>
    <row r="5" spans="1:8" x14ac:dyDescent="0.25">
      <c r="A5" s="4" t="s">
        <v>26</v>
      </c>
      <c r="B5" s="4" t="s">
        <v>35</v>
      </c>
      <c r="C5" s="4" t="s">
        <v>28</v>
      </c>
      <c r="D5" s="1" t="s">
        <v>529</v>
      </c>
      <c r="E5" s="4">
        <v>151.13999999999999</v>
      </c>
      <c r="F5" s="4" t="s">
        <v>36</v>
      </c>
      <c r="G5" s="1" t="s">
        <v>511</v>
      </c>
      <c r="H5" s="8">
        <v>99.72</v>
      </c>
    </row>
    <row r="6" spans="1:8" x14ac:dyDescent="0.25">
      <c r="A6" s="4" t="s">
        <v>19</v>
      </c>
      <c r="B6" s="4" t="s">
        <v>35</v>
      </c>
      <c r="C6" s="4" t="s">
        <v>37</v>
      </c>
      <c r="D6" t="s">
        <v>509</v>
      </c>
      <c r="E6" s="4">
        <v>132.13999999999999</v>
      </c>
      <c r="F6" s="4" t="s">
        <v>45</v>
      </c>
      <c r="G6" s="1" t="s">
        <v>529</v>
      </c>
      <c r="H6" s="8">
        <v>106.1</v>
      </c>
    </row>
    <row r="7" spans="1:8" x14ac:dyDescent="0.25">
      <c r="A7" s="3" t="s">
        <v>16</v>
      </c>
      <c r="B7" s="3" t="s">
        <v>35</v>
      </c>
      <c r="C7" s="3" t="s">
        <v>17</v>
      </c>
      <c r="D7" t="s">
        <v>508</v>
      </c>
      <c r="E7" s="4">
        <v>99.82</v>
      </c>
      <c r="F7" s="3" t="s">
        <v>37</v>
      </c>
      <c r="G7" t="s">
        <v>509</v>
      </c>
      <c r="H7" s="8">
        <v>112.36</v>
      </c>
    </row>
    <row r="8" spans="1:8" x14ac:dyDescent="0.25">
      <c r="A8" s="3" t="s">
        <v>51</v>
      </c>
      <c r="B8" s="3" t="s">
        <v>35</v>
      </c>
      <c r="C8" s="3" t="s">
        <v>52</v>
      </c>
      <c r="D8" t="s">
        <v>512</v>
      </c>
      <c r="E8" s="4">
        <v>115.02</v>
      </c>
      <c r="F8" s="3" t="s">
        <v>42</v>
      </c>
      <c r="G8" s="1" t="s">
        <v>511</v>
      </c>
      <c r="H8" s="8">
        <v>111.84</v>
      </c>
    </row>
    <row r="9" spans="1:8" x14ac:dyDescent="0.25">
      <c r="A9" s="3" t="s">
        <v>30</v>
      </c>
      <c r="B9" s="3" t="s">
        <v>35</v>
      </c>
      <c r="C9" s="3" t="s">
        <v>58</v>
      </c>
      <c r="D9" s="1" t="s">
        <v>521</v>
      </c>
      <c r="E9" s="3" t="s">
        <v>59</v>
      </c>
      <c r="F9" s="3" t="s">
        <v>40</v>
      </c>
      <c r="G9" s="1" t="s">
        <v>528</v>
      </c>
      <c r="H9" s="8" t="s">
        <v>60</v>
      </c>
    </row>
    <row r="10" spans="1:8" x14ac:dyDescent="0.25">
      <c r="A10" s="3" t="s">
        <v>63</v>
      </c>
      <c r="B10" s="3" t="s">
        <v>35</v>
      </c>
      <c r="C10" s="3" t="s">
        <v>42</v>
      </c>
      <c r="D10" s="1" t="s">
        <v>511</v>
      </c>
      <c r="E10" s="3" t="s">
        <v>64</v>
      </c>
      <c r="F10" s="3" t="s">
        <v>65</v>
      </c>
      <c r="G10" s="1" t="s">
        <v>535</v>
      </c>
      <c r="H10" s="8" t="s">
        <v>482</v>
      </c>
    </row>
    <row r="11" spans="1:8" x14ac:dyDescent="0.25">
      <c r="A11" t="s">
        <v>19</v>
      </c>
      <c r="B11" t="s">
        <v>72</v>
      </c>
      <c r="C11" t="s">
        <v>21</v>
      </c>
      <c r="D11" t="s">
        <v>520</v>
      </c>
      <c r="E11">
        <v>112.86</v>
      </c>
      <c r="F11" t="s">
        <v>73</v>
      </c>
      <c r="G11" t="s">
        <v>530</v>
      </c>
      <c r="H11">
        <v>186.22</v>
      </c>
    </row>
    <row r="12" spans="1:8" x14ac:dyDescent="0.25">
      <c r="A12" t="s">
        <v>26</v>
      </c>
      <c r="B12" t="s">
        <v>72</v>
      </c>
      <c r="C12" t="s">
        <v>50</v>
      </c>
      <c r="D12" t="s">
        <v>512</v>
      </c>
      <c r="E12">
        <v>103.4</v>
      </c>
      <c r="F12" t="s">
        <v>71</v>
      </c>
      <c r="G12" t="s">
        <v>509</v>
      </c>
      <c r="H12">
        <v>112.46</v>
      </c>
    </row>
    <row r="13" spans="1:8" x14ac:dyDescent="0.25">
      <c r="A13" t="s">
        <v>503</v>
      </c>
      <c r="B13" t="s">
        <v>72</v>
      </c>
      <c r="C13" t="s">
        <v>505</v>
      </c>
      <c r="D13" t="s">
        <v>528</v>
      </c>
      <c r="E13">
        <v>112.06</v>
      </c>
      <c r="F13" t="s">
        <v>504</v>
      </c>
      <c r="G13" t="s">
        <v>508</v>
      </c>
      <c r="H13">
        <v>86.86</v>
      </c>
    </row>
    <row r="14" spans="1:8" x14ac:dyDescent="0.25">
      <c r="A14" t="s">
        <v>515</v>
      </c>
      <c r="B14" t="s">
        <v>72</v>
      </c>
      <c r="C14" t="s">
        <v>29</v>
      </c>
      <c r="D14" t="s">
        <v>530</v>
      </c>
      <c r="E14">
        <v>130.32</v>
      </c>
      <c r="F14" t="s">
        <v>501</v>
      </c>
      <c r="G14" t="s">
        <v>508</v>
      </c>
      <c r="H14">
        <v>61.28</v>
      </c>
    </row>
    <row r="15" spans="1:8" x14ac:dyDescent="0.25">
      <c r="A15" t="s">
        <v>517</v>
      </c>
      <c r="B15" t="s">
        <v>72</v>
      </c>
      <c r="C15" t="s">
        <v>497</v>
      </c>
      <c r="D15" t="s">
        <v>509</v>
      </c>
      <c r="E15">
        <v>143.82</v>
      </c>
      <c r="F15" t="s">
        <v>505</v>
      </c>
      <c r="G15" t="s">
        <v>528</v>
      </c>
      <c r="H15">
        <v>121.48</v>
      </c>
    </row>
  </sheetData>
  <pageMargins left="0.7" right="0.7" top="0.75" bottom="0.75" header="0.3" footer="0.3"/>
  <pageSetup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E2CBAF2-4D6E-4F7F-84A9-8CE6FBA3C961}">
  <sheetPr>
    <tabColor rgb="FFFFC000"/>
  </sheetPr>
  <dimension ref="A1:B53"/>
  <sheetViews>
    <sheetView topLeftCell="A22" workbookViewId="0">
      <selection activeCell="B49" sqref="B49"/>
    </sheetView>
  </sheetViews>
  <sheetFormatPr defaultRowHeight="15" x14ac:dyDescent="0.25"/>
  <cols>
    <col min="1" max="1" width="25" bestFit="1" customWidth="1"/>
    <col min="2" max="2" width="16" bestFit="1" customWidth="1"/>
  </cols>
  <sheetData>
    <row r="1" spans="1:2" x14ac:dyDescent="0.25">
      <c r="A1" s="10" t="s">
        <v>13</v>
      </c>
      <c r="B1" s="11" t="s">
        <v>0</v>
      </c>
    </row>
    <row r="2" spans="1:2" x14ac:dyDescent="0.25">
      <c r="A2" s="3" t="s">
        <v>68</v>
      </c>
      <c r="B2" s="1" t="s">
        <v>529</v>
      </c>
    </row>
    <row r="3" spans="1:2" x14ac:dyDescent="0.25">
      <c r="A3" s="3" t="s">
        <v>45</v>
      </c>
      <c r="B3" s="1" t="s">
        <v>529</v>
      </c>
    </row>
    <row r="4" spans="1:2" x14ac:dyDescent="0.25">
      <c r="A4" s="3" t="s">
        <v>58</v>
      </c>
      <c r="B4" s="1" t="s">
        <v>521</v>
      </c>
    </row>
    <row r="5" spans="1:2" x14ac:dyDescent="0.25">
      <c r="A5" s="3" t="s">
        <v>86</v>
      </c>
      <c r="B5" s="1" t="s">
        <v>521</v>
      </c>
    </row>
    <row r="6" spans="1:2" x14ac:dyDescent="0.25">
      <c r="A6" s="3" t="s">
        <v>53</v>
      </c>
      <c r="B6" s="1" t="s">
        <v>521</v>
      </c>
    </row>
    <row r="7" spans="1:2" x14ac:dyDescent="0.25">
      <c r="A7" s="3" t="s">
        <v>514</v>
      </c>
      <c r="B7" s="3" t="s">
        <v>485</v>
      </c>
    </row>
    <row r="8" spans="1:2" x14ac:dyDescent="0.25">
      <c r="A8" s="3" t="s">
        <v>42</v>
      </c>
      <c r="B8" s="1" t="s">
        <v>511</v>
      </c>
    </row>
    <row r="9" spans="1:2" x14ac:dyDescent="0.25">
      <c r="A9" s="3" t="s">
        <v>52</v>
      </c>
      <c r="B9" s="1" t="s">
        <v>512</v>
      </c>
    </row>
    <row r="10" spans="1:2" x14ac:dyDescent="0.25">
      <c r="A10" s="3" t="s">
        <v>38</v>
      </c>
      <c r="B10" s="13" t="s">
        <v>512</v>
      </c>
    </row>
    <row r="11" spans="1:2" x14ac:dyDescent="0.25">
      <c r="A11" s="3" t="s">
        <v>50</v>
      </c>
      <c r="B11" s="1" t="s">
        <v>512</v>
      </c>
    </row>
    <row r="12" spans="1:2" x14ac:dyDescent="0.25">
      <c r="A12" s="3" t="s">
        <v>40</v>
      </c>
      <c r="B12" s="1" t="s">
        <v>528</v>
      </c>
    </row>
    <row r="13" spans="1:2" x14ac:dyDescent="0.25">
      <c r="A13" s="3" t="s">
        <v>505</v>
      </c>
      <c r="B13" s="1" t="s">
        <v>528</v>
      </c>
    </row>
    <row r="14" spans="1:2" x14ac:dyDescent="0.25">
      <c r="A14" s="3" t="s">
        <v>130</v>
      </c>
      <c r="B14" s="1" t="s">
        <v>530</v>
      </c>
    </row>
    <row r="15" spans="1:2" x14ac:dyDescent="0.25">
      <c r="A15" s="3" t="s">
        <v>73</v>
      </c>
      <c r="B15" s="1" t="s">
        <v>530</v>
      </c>
    </row>
    <row r="16" spans="1:2" x14ac:dyDescent="0.25">
      <c r="A16" s="3" t="s">
        <v>29</v>
      </c>
      <c r="B16" s="1" t="s">
        <v>530</v>
      </c>
    </row>
    <row r="17" spans="1:2" x14ac:dyDescent="0.25">
      <c r="A17" s="3" t="s">
        <v>33</v>
      </c>
      <c r="B17" s="1" t="s">
        <v>520</v>
      </c>
    </row>
    <row r="18" spans="1:2" x14ac:dyDescent="0.25">
      <c r="A18" s="3" t="s">
        <v>18</v>
      </c>
      <c r="B18" s="1" t="s">
        <v>520</v>
      </c>
    </row>
    <row r="19" spans="1:2" x14ac:dyDescent="0.25">
      <c r="A19" s="3" t="s">
        <v>21</v>
      </c>
      <c r="B19" s="1" t="s">
        <v>520</v>
      </c>
    </row>
    <row r="20" spans="1:2" x14ac:dyDescent="0.25">
      <c r="A20" s="3" t="s">
        <v>78</v>
      </c>
      <c r="B20" s="1" t="s">
        <v>520</v>
      </c>
    </row>
    <row r="21" spans="1:2" x14ac:dyDescent="0.25">
      <c r="A21" s="3" t="s">
        <v>32</v>
      </c>
      <c r="B21" s="1" t="s">
        <v>24</v>
      </c>
    </row>
    <row r="22" spans="1:2" x14ac:dyDescent="0.25">
      <c r="A22" s="3" t="s">
        <v>83</v>
      </c>
      <c r="B22" s="1" t="s">
        <v>24</v>
      </c>
    </row>
    <row r="23" spans="1:2" x14ac:dyDescent="0.25">
      <c r="A23" s="3" t="s">
        <v>43</v>
      </c>
      <c r="B23" s="1" t="s">
        <v>509</v>
      </c>
    </row>
    <row r="24" spans="1:2" x14ac:dyDescent="0.25">
      <c r="A24" s="3" t="s">
        <v>37</v>
      </c>
      <c r="B24" s="1" t="s">
        <v>509</v>
      </c>
    </row>
    <row r="25" spans="1:2" x14ac:dyDescent="0.25">
      <c r="A25" s="3" t="s">
        <v>71</v>
      </c>
      <c r="B25" s="1" t="s">
        <v>509</v>
      </c>
    </row>
    <row r="26" spans="1:2" x14ac:dyDescent="0.25">
      <c r="A26" s="3" t="s">
        <v>497</v>
      </c>
      <c r="B26" s="3" t="s">
        <v>509</v>
      </c>
    </row>
    <row r="27" spans="1:2" x14ac:dyDescent="0.25">
      <c r="A27" s="3" t="s">
        <v>47</v>
      </c>
      <c r="B27" s="1" t="s">
        <v>510</v>
      </c>
    </row>
    <row r="28" spans="1:2" x14ac:dyDescent="0.25">
      <c r="A28" s="3" t="s">
        <v>67</v>
      </c>
      <c r="B28" s="1" t="s">
        <v>510</v>
      </c>
    </row>
    <row r="29" spans="1:2" x14ac:dyDescent="0.25">
      <c r="A29" s="3" t="s">
        <v>56</v>
      </c>
      <c r="B29" s="1" t="s">
        <v>508</v>
      </c>
    </row>
    <row r="30" spans="1:2" x14ac:dyDescent="0.25">
      <c r="A30" s="3" t="s">
        <v>17</v>
      </c>
      <c r="B30" s="1" t="s">
        <v>508</v>
      </c>
    </row>
    <row r="31" spans="1:2" x14ac:dyDescent="0.25">
      <c r="A31" s="3" t="s">
        <v>48</v>
      </c>
      <c r="B31" s="1" t="s">
        <v>508</v>
      </c>
    </row>
    <row r="32" spans="1:2" x14ac:dyDescent="0.25">
      <c r="A32" s="3" t="s">
        <v>504</v>
      </c>
      <c r="B32" s="3" t="s">
        <v>508</v>
      </c>
    </row>
    <row r="33" spans="1:2" x14ac:dyDescent="0.25">
      <c r="A33" s="3" t="s">
        <v>501</v>
      </c>
      <c r="B33" s="3" t="s">
        <v>508</v>
      </c>
    </row>
    <row r="34" spans="1:2" x14ac:dyDescent="0.25">
      <c r="A34" s="3" t="s">
        <v>502</v>
      </c>
      <c r="B34" s="3" t="s">
        <v>508</v>
      </c>
    </row>
    <row r="35" spans="1:2" x14ac:dyDescent="0.25">
      <c r="A35" s="3" t="s">
        <v>45</v>
      </c>
      <c r="B35" s="1" t="s">
        <v>529</v>
      </c>
    </row>
    <row r="36" spans="1:2" x14ac:dyDescent="0.25">
      <c r="A36" s="3" t="s">
        <v>28</v>
      </c>
      <c r="B36" s="1" t="s">
        <v>529</v>
      </c>
    </row>
    <row r="37" spans="1:2" x14ac:dyDescent="0.25">
      <c r="A37" s="3" t="s">
        <v>506</v>
      </c>
      <c r="B37" s="1" t="s">
        <v>529</v>
      </c>
    </row>
    <row r="38" spans="1:2" x14ac:dyDescent="0.25">
      <c r="A38" t="s">
        <v>23</v>
      </c>
      <c r="B38" s="1" t="s">
        <v>520</v>
      </c>
    </row>
    <row r="39" spans="1:2" x14ac:dyDescent="0.25">
      <c r="A39" s="32" t="s">
        <v>531</v>
      </c>
      <c r="B39" s="1" t="s">
        <v>535</v>
      </c>
    </row>
    <row r="40" spans="1:2" x14ac:dyDescent="0.25">
      <c r="A40" s="1" t="s">
        <v>536</v>
      </c>
      <c r="B40" s="1" t="s">
        <v>536</v>
      </c>
    </row>
    <row r="41" spans="1:2" x14ac:dyDescent="0.25">
      <c r="A41" s="1" t="s">
        <v>537</v>
      </c>
      <c r="B41" s="1" t="s">
        <v>537</v>
      </c>
    </row>
    <row r="42" spans="1:2" x14ac:dyDescent="0.25">
      <c r="A42" s="1" t="s">
        <v>552</v>
      </c>
      <c r="B42" t="s">
        <v>536</v>
      </c>
    </row>
    <row r="43" spans="1:2" x14ac:dyDescent="0.25">
      <c r="A43" t="s">
        <v>497</v>
      </c>
      <c r="B43" t="s">
        <v>509</v>
      </c>
    </row>
    <row r="44" spans="1:2" x14ac:dyDescent="0.25">
      <c r="A44" t="s">
        <v>553</v>
      </c>
      <c r="B44" t="s">
        <v>530</v>
      </c>
    </row>
    <row r="45" spans="1:2" x14ac:dyDescent="0.25">
      <c r="A45" t="s">
        <v>554</v>
      </c>
      <c r="B45" t="s">
        <v>512</v>
      </c>
    </row>
    <row r="46" spans="1:2" x14ac:dyDescent="0.25">
      <c r="A46" t="s">
        <v>495</v>
      </c>
      <c r="B46" t="s">
        <v>510</v>
      </c>
    </row>
    <row r="47" spans="1:2" x14ac:dyDescent="0.25">
      <c r="A47" t="s">
        <v>78</v>
      </c>
      <c r="B47" t="s">
        <v>520</v>
      </c>
    </row>
    <row r="48" spans="1:2" x14ac:dyDescent="0.25">
      <c r="A48" t="s">
        <v>555</v>
      </c>
      <c r="B48" t="s">
        <v>537</v>
      </c>
    </row>
    <row r="49" spans="1:2" x14ac:dyDescent="0.25">
      <c r="A49" t="s">
        <v>243</v>
      </c>
      <c r="B49" s="1" t="s">
        <v>528</v>
      </c>
    </row>
    <row r="50" spans="1:2" x14ac:dyDescent="0.25">
      <c r="A50" t="s">
        <v>236</v>
      </c>
      <c r="B50" t="s">
        <v>24</v>
      </c>
    </row>
    <row r="51" spans="1:2" x14ac:dyDescent="0.25">
      <c r="A51" t="s">
        <v>556</v>
      </c>
      <c r="B51" t="s">
        <v>529</v>
      </c>
    </row>
    <row r="52" spans="1:2" x14ac:dyDescent="0.25">
      <c r="A52" t="s">
        <v>557</v>
      </c>
      <c r="B52" t="s">
        <v>508</v>
      </c>
    </row>
    <row r="53" spans="1:2" x14ac:dyDescent="0.25">
      <c r="A53" t="s">
        <v>500</v>
      </c>
      <c r="B53" t="s">
        <v>485</v>
      </c>
    </row>
  </sheetData>
  <pageMargins left="0.7" right="0.7" top="0.75" bottom="0.75" header="0.3" footer="0.3"/>
  <pageSetup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>
    <tabColor rgb="FFFFC000"/>
  </sheetPr>
  <dimension ref="A1:O1042"/>
  <sheetViews>
    <sheetView tabSelected="1" zoomScale="148" zoomScaleNormal="148" workbookViewId="0">
      <selection activeCell="P6" sqref="P6"/>
    </sheetView>
  </sheetViews>
  <sheetFormatPr defaultColWidth="14.42578125" defaultRowHeight="15" customHeight="1" x14ac:dyDescent="0.25"/>
  <cols>
    <col min="1" max="1" width="5.28515625" bestFit="1" customWidth="1"/>
    <col min="2" max="2" width="28.7109375" bestFit="1" customWidth="1"/>
    <col min="3" max="3" width="16" bestFit="1" customWidth="1"/>
    <col min="4" max="4" width="3" customWidth="1"/>
    <col min="5" max="5" width="3" bestFit="1" customWidth="1"/>
    <col min="6" max="6" width="3" customWidth="1"/>
    <col min="7" max="7" width="2" customWidth="1"/>
    <col min="8" max="8" width="5.7109375" style="9" bestFit="1" customWidth="1"/>
    <col min="9" max="10" width="8.28515625" bestFit="1" customWidth="1"/>
    <col min="11" max="12" width="6.85546875" bestFit="1" customWidth="1"/>
    <col min="13" max="13" width="7.28515625" bestFit="1" customWidth="1"/>
    <col min="14" max="14" width="15.28515625" bestFit="1" customWidth="1"/>
    <col min="15" max="15" width="16.42578125" bestFit="1" customWidth="1"/>
  </cols>
  <sheetData>
    <row r="1" spans="1:15" ht="14.25" customHeight="1" x14ac:dyDescent="0.25">
      <c r="A1" s="16" t="s">
        <v>228</v>
      </c>
      <c r="B1" s="16" t="s">
        <v>15</v>
      </c>
      <c r="C1" s="16" t="s">
        <v>0</v>
      </c>
      <c r="D1" s="16" t="s">
        <v>135</v>
      </c>
      <c r="E1" s="16" t="s">
        <v>25</v>
      </c>
      <c r="F1" s="16" t="s">
        <v>22</v>
      </c>
      <c r="G1" s="16" t="s">
        <v>229</v>
      </c>
      <c r="H1" s="17" t="s">
        <v>230</v>
      </c>
      <c r="I1" s="16" t="s">
        <v>231</v>
      </c>
      <c r="J1" s="16" t="s">
        <v>232</v>
      </c>
      <c r="K1" s="16" t="s">
        <v>233</v>
      </c>
      <c r="L1" s="16" t="s">
        <v>234</v>
      </c>
      <c r="M1" s="16" t="s">
        <v>10</v>
      </c>
      <c r="N1" s="37" t="s">
        <v>561</v>
      </c>
      <c r="O1" s="37" t="s">
        <v>562</v>
      </c>
    </row>
    <row r="2" spans="1:15" ht="14.25" customHeight="1" x14ac:dyDescent="0.25">
      <c r="A2" s="13">
        <v>1</v>
      </c>
      <c r="B2" s="34" t="s">
        <v>552</v>
      </c>
      <c r="C2" s="34" t="s">
        <v>536</v>
      </c>
      <c r="D2" s="16">
        <v>6</v>
      </c>
      <c r="E2" s="16">
        <v>5</v>
      </c>
      <c r="F2" s="16">
        <v>1</v>
      </c>
      <c r="G2" s="16">
        <v>0</v>
      </c>
      <c r="H2" s="14">
        <f t="shared" ref="H2:H13" si="0">E2/D2</f>
        <v>0.83333333333333337</v>
      </c>
      <c r="I2" s="16">
        <v>849.12</v>
      </c>
      <c r="J2" s="16">
        <v>760.12</v>
      </c>
      <c r="K2" s="5">
        <f t="shared" ref="K2:K13" si="1">I2/D2</f>
        <v>141.52000000000001</v>
      </c>
      <c r="L2" s="5">
        <f t="shared" ref="L2:L13" si="2">J2/D2</f>
        <v>126.68666666666667</v>
      </c>
      <c r="M2" s="16">
        <v>2025</v>
      </c>
      <c r="N2">
        <f>SUMIFS(gamelog!$I$632:$I$754,gamelog!$D$632:$D$754,C2)+SUMIFS(gamelog!$J$632:$J$754,gamelog!$G$632:$G$754,C2)</f>
        <v>855.10000000000014</v>
      </c>
      <c r="O2">
        <f>I2-N2</f>
        <v>-5.9800000000001319</v>
      </c>
    </row>
    <row r="3" spans="1:15" ht="14.25" customHeight="1" x14ac:dyDescent="0.25">
      <c r="A3" s="13">
        <v>2</v>
      </c>
      <c r="B3" s="34" t="s">
        <v>497</v>
      </c>
      <c r="C3" s="34" t="s">
        <v>509</v>
      </c>
      <c r="D3" s="16">
        <v>6</v>
      </c>
      <c r="E3" s="16">
        <v>5</v>
      </c>
      <c r="F3" s="16">
        <v>1</v>
      </c>
      <c r="G3" s="16">
        <v>0</v>
      </c>
      <c r="H3" s="14">
        <f t="shared" si="0"/>
        <v>0.83333333333333337</v>
      </c>
      <c r="I3" s="16">
        <v>813.08</v>
      </c>
      <c r="J3" s="16">
        <v>809.9</v>
      </c>
      <c r="K3" s="5">
        <f t="shared" si="1"/>
        <v>135.51333333333335</v>
      </c>
      <c r="L3" s="5">
        <f t="shared" si="2"/>
        <v>134.98333333333332</v>
      </c>
      <c r="M3" s="16">
        <v>2025</v>
      </c>
      <c r="N3">
        <f>SUMIFS(gamelog!$I$632:$I$754,gamelog!$D$632:$D$754,C3)+SUMIFS(gamelog!$J$632:$J$754,gamelog!$G$632:$G$754,C3)</f>
        <v>871.9799999999999</v>
      </c>
      <c r="O3">
        <f t="shared" ref="O3:O13" si="3">I3-N3</f>
        <v>-58.899999999999864</v>
      </c>
    </row>
    <row r="4" spans="1:15" ht="14.25" customHeight="1" x14ac:dyDescent="0.25">
      <c r="A4" s="13">
        <v>3</v>
      </c>
      <c r="B4" s="34" t="s">
        <v>553</v>
      </c>
      <c r="C4" s="34" t="s">
        <v>530</v>
      </c>
      <c r="D4" s="16">
        <v>6</v>
      </c>
      <c r="E4" s="16">
        <v>4</v>
      </c>
      <c r="F4" s="16">
        <v>2</v>
      </c>
      <c r="G4" s="16">
        <v>0</v>
      </c>
      <c r="H4" s="14">
        <f t="shared" si="0"/>
        <v>0.66666666666666663</v>
      </c>
      <c r="I4" s="16">
        <v>931.52</v>
      </c>
      <c r="J4" s="16">
        <v>741.22</v>
      </c>
      <c r="K4" s="5">
        <f t="shared" si="1"/>
        <v>155.25333333333333</v>
      </c>
      <c r="L4" s="5">
        <f t="shared" si="2"/>
        <v>123.53666666666668</v>
      </c>
      <c r="M4" s="16">
        <v>2025</v>
      </c>
      <c r="N4">
        <f>SUMIFS(gamelog!$I$632:$I$754,gamelog!$D$632:$D$754,C4)+SUMIFS(gamelog!$J$632:$J$754,gamelog!$G$632:$G$754,C4)</f>
        <v>886.21</v>
      </c>
      <c r="O4">
        <f t="shared" si="3"/>
        <v>45.309999999999945</v>
      </c>
    </row>
    <row r="5" spans="1:15" ht="14.25" customHeight="1" x14ac:dyDescent="0.25">
      <c r="A5" s="13">
        <v>4</v>
      </c>
      <c r="B5" s="34" t="s">
        <v>554</v>
      </c>
      <c r="C5" s="34" t="s">
        <v>512</v>
      </c>
      <c r="D5" s="16">
        <v>6</v>
      </c>
      <c r="E5" s="16">
        <v>4</v>
      </c>
      <c r="F5" s="16">
        <v>2</v>
      </c>
      <c r="G5" s="16">
        <v>0</v>
      </c>
      <c r="H5" s="14">
        <f t="shared" si="0"/>
        <v>0.66666666666666663</v>
      </c>
      <c r="I5" s="16">
        <v>821.64</v>
      </c>
      <c r="J5" s="16">
        <v>780.84</v>
      </c>
      <c r="K5" s="5">
        <f t="shared" si="1"/>
        <v>136.94</v>
      </c>
      <c r="L5" s="5">
        <f t="shared" si="2"/>
        <v>130.14000000000001</v>
      </c>
      <c r="M5" s="16">
        <v>2025</v>
      </c>
      <c r="N5">
        <f>SUMIFS(gamelog!$I$632:$I$754,gamelog!$D$632:$D$754,C5)+SUMIFS(gamelog!$J$632:$J$754,gamelog!$G$632:$G$754,C5)</f>
        <v>901.51</v>
      </c>
      <c r="O5">
        <f t="shared" si="3"/>
        <v>-79.87</v>
      </c>
    </row>
    <row r="6" spans="1:15" ht="14.25" customHeight="1" x14ac:dyDescent="0.25">
      <c r="A6" s="13">
        <v>5</v>
      </c>
      <c r="B6" s="34" t="s">
        <v>495</v>
      </c>
      <c r="C6" s="34" t="s">
        <v>510</v>
      </c>
      <c r="D6" s="16">
        <v>6</v>
      </c>
      <c r="E6" s="16">
        <v>4</v>
      </c>
      <c r="F6" s="16">
        <v>2</v>
      </c>
      <c r="G6" s="16">
        <v>0</v>
      </c>
      <c r="H6" s="14">
        <f t="shared" si="0"/>
        <v>0.66666666666666663</v>
      </c>
      <c r="I6" s="16">
        <v>787.96</v>
      </c>
      <c r="J6" s="16">
        <v>754.34</v>
      </c>
      <c r="K6" s="5">
        <f t="shared" si="1"/>
        <v>131.32666666666668</v>
      </c>
      <c r="L6" s="5">
        <f t="shared" si="2"/>
        <v>125.72333333333334</v>
      </c>
      <c r="M6" s="16">
        <v>2025</v>
      </c>
      <c r="N6">
        <f>SUMIFS(gamelog!$I$632:$I$754,gamelog!$D$632:$D$754,C6)+SUMIFS(gamelog!$J$632:$J$754,gamelog!$G$632:$G$754,C6)</f>
        <v>812.99</v>
      </c>
      <c r="O6">
        <f t="shared" si="3"/>
        <v>-25.029999999999973</v>
      </c>
    </row>
    <row r="7" spans="1:15" ht="14.25" customHeight="1" x14ac:dyDescent="0.25">
      <c r="A7" s="13">
        <v>6</v>
      </c>
      <c r="B7" s="34" t="s">
        <v>78</v>
      </c>
      <c r="C7" s="34" t="s">
        <v>520</v>
      </c>
      <c r="D7" s="16">
        <v>6</v>
      </c>
      <c r="E7" s="16">
        <v>3</v>
      </c>
      <c r="F7" s="16">
        <v>3</v>
      </c>
      <c r="G7" s="16">
        <v>0</v>
      </c>
      <c r="H7" s="14">
        <f t="shared" si="0"/>
        <v>0.5</v>
      </c>
      <c r="I7" s="16">
        <v>830.86</v>
      </c>
      <c r="J7" s="16">
        <v>788.84</v>
      </c>
      <c r="K7" s="5">
        <f t="shared" si="1"/>
        <v>138.47666666666666</v>
      </c>
      <c r="L7" s="5">
        <f t="shared" si="2"/>
        <v>131.47333333333333</v>
      </c>
      <c r="M7" s="16">
        <v>2025</v>
      </c>
      <c r="N7">
        <f>SUMIFS(gamelog!$I$632:$I$754,gamelog!$D$632:$D$754,C7)+SUMIFS(gamelog!$J$632:$J$754,gamelog!$G$632:$G$754,C7)</f>
        <v>877.89</v>
      </c>
      <c r="O7">
        <f t="shared" si="3"/>
        <v>-47.029999999999973</v>
      </c>
    </row>
    <row r="8" spans="1:15" ht="14.25" customHeight="1" x14ac:dyDescent="0.25">
      <c r="A8" s="13">
        <v>7</v>
      </c>
      <c r="B8" s="34" t="s">
        <v>555</v>
      </c>
      <c r="C8" s="34" t="s">
        <v>537</v>
      </c>
      <c r="D8" s="16">
        <v>6</v>
      </c>
      <c r="E8" s="16">
        <v>3</v>
      </c>
      <c r="F8" s="16">
        <v>3</v>
      </c>
      <c r="G8" s="16">
        <v>0</v>
      </c>
      <c r="H8" s="14">
        <f t="shared" si="0"/>
        <v>0.5</v>
      </c>
      <c r="I8" s="16">
        <v>740.54</v>
      </c>
      <c r="J8" s="16">
        <v>811.24</v>
      </c>
      <c r="K8" s="5">
        <f t="shared" si="1"/>
        <v>123.42333333333333</v>
      </c>
      <c r="L8" s="5">
        <f t="shared" si="2"/>
        <v>135.20666666666668</v>
      </c>
      <c r="M8" s="16">
        <v>2025</v>
      </c>
      <c r="N8">
        <f>SUMIFS(gamelog!$I$632:$I$754,gamelog!$D$632:$D$754,C8)+SUMIFS(gamelog!$J$632:$J$754,gamelog!$G$632:$G$754,C8)</f>
        <v>758.40000000000009</v>
      </c>
      <c r="O8">
        <f t="shared" si="3"/>
        <v>-17.860000000000127</v>
      </c>
    </row>
    <row r="9" spans="1:15" ht="14.25" customHeight="1" x14ac:dyDescent="0.25">
      <c r="A9" s="13">
        <v>8</v>
      </c>
      <c r="B9" s="13" t="s">
        <v>243</v>
      </c>
      <c r="C9" s="1" t="s">
        <v>528</v>
      </c>
      <c r="D9" s="16">
        <v>6</v>
      </c>
      <c r="E9" s="16">
        <v>3</v>
      </c>
      <c r="F9" s="16">
        <v>3</v>
      </c>
      <c r="G9" s="16">
        <v>0</v>
      </c>
      <c r="H9" s="14">
        <f t="shared" si="0"/>
        <v>0.5</v>
      </c>
      <c r="I9" s="16">
        <v>737.86</v>
      </c>
      <c r="J9" s="16">
        <v>839.12</v>
      </c>
      <c r="K9" s="5">
        <f t="shared" si="1"/>
        <v>122.97666666666667</v>
      </c>
      <c r="L9" s="5">
        <f t="shared" si="2"/>
        <v>139.85333333333332</v>
      </c>
      <c r="M9" s="16">
        <v>2025</v>
      </c>
      <c r="N9">
        <f>SUMIFS(gamelog!$I$632:$I$754,gamelog!$D$632:$D$754,C9)+SUMIFS(gamelog!$J$632:$J$754,gamelog!$G$632:$G$754,C9)</f>
        <v>694.63</v>
      </c>
      <c r="O9">
        <f t="shared" si="3"/>
        <v>43.230000000000018</v>
      </c>
    </row>
    <row r="10" spans="1:15" ht="14.25" customHeight="1" x14ac:dyDescent="0.25">
      <c r="A10" s="13">
        <v>9</v>
      </c>
      <c r="B10" s="34" t="s">
        <v>236</v>
      </c>
      <c r="C10" s="34" t="s">
        <v>24</v>
      </c>
      <c r="D10" s="16">
        <v>6</v>
      </c>
      <c r="E10" s="16">
        <v>2</v>
      </c>
      <c r="F10" s="16">
        <v>4</v>
      </c>
      <c r="G10" s="16">
        <v>0</v>
      </c>
      <c r="H10" s="14">
        <f t="shared" si="0"/>
        <v>0.33333333333333331</v>
      </c>
      <c r="I10" s="16">
        <v>787.6</v>
      </c>
      <c r="J10" s="16">
        <v>770.72</v>
      </c>
      <c r="K10" s="5">
        <f t="shared" si="1"/>
        <v>131.26666666666668</v>
      </c>
      <c r="L10" s="5">
        <f t="shared" si="2"/>
        <v>128.45333333333335</v>
      </c>
      <c r="M10" s="16">
        <v>2025</v>
      </c>
      <c r="N10">
        <f>SUMIFS(gamelog!$I$632:$I$754,gamelog!$D$632:$D$754,C10)+SUMIFS(gamelog!$J$632:$J$754,gamelog!$G$632:$G$754,C10)</f>
        <v>861.69999999999993</v>
      </c>
      <c r="O10">
        <f t="shared" si="3"/>
        <v>-74.099999999999909</v>
      </c>
    </row>
    <row r="11" spans="1:15" ht="14.25" customHeight="1" x14ac:dyDescent="0.25">
      <c r="A11" s="13">
        <v>10</v>
      </c>
      <c r="B11" s="34" t="s">
        <v>556</v>
      </c>
      <c r="C11" s="34" t="s">
        <v>529</v>
      </c>
      <c r="D11" s="16">
        <v>6</v>
      </c>
      <c r="E11" s="16">
        <v>1</v>
      </c>
      <c r="F11" s="16">
        <v>5</v>
      </c>
      <c r="G11" s="16">
        <v>0</v>
      </c>
      <c r="H11" s="14">
        <f t="shared" si="0"/>
        <v>0.16666666666666666</v>
      </c>
      <c r="I11" s="16">
        <v>816.12</v>
      </c>
      <c r="J11" s="16">
        <v>879.1</v>
      </c>
      <c r="K11" s="5">
        <f t="shared" si="1"/>
        <v>136.02000000000001</v>
      </c>
      <c r="L11" s="5">
        <f t="shared" si="2"/>
        <v>146.51666666666668</v>
      </c>
      <c r="M11" s="16">
        <v>2025</v>
      </c>
      <c r="N11">
        <f>SUMIFS(gamelog!$I$632:$I$754,gamelog!$D$632:$D$754,C11)+SUMIFS(gamelog!$J$632:$J$754,gamelog!$G$632:$G$754,C11)</f>
        <v>865.56000000000006</v>
      </c>
      <c r="O11">
        <f t="shared" si="3"/>
        <v>-49.440000000000055</v>
      </c>
    </row>
    <row r="12" spans="1:15" ht="14.25" customHeight="1" x14ac:dyDescent="0.25">
      <c r="A12" s="35">
        <v>11</v>
      </c>
      <c r="B12" s="34" t="s">
        <v>557</v>
      </c>
      <c r="C12" s="34" t="s">
        <v>508</v>
      </c>
      <c r="D12" s="16">
        <v>6</v>
      </c>
      <c r="E12" s="16">
        <v>1</v>
      </c>
      <c r="F12" s="16">
        <v>5</v>
      </c>
      <c r="G12" s="16">
        <v>0</v>
      </c>
      <c r="H12" s="14">
        <f t="shared" si="0"/>
        <v>0.16666666666666666</v>
      </c>
      <c r="I12" s="16">
        <v>758.06</v>
      </c>
      <c r="J12" s="16">
        <v>798.62</v>
      </c>
      <c r="K12" s="5">
        <f t="shared" si="1"/>
        <v>126.34333333333332</v>
      </c>
      <c r="L12" s="5">
        <f t="shared" si="2"/>
        <v>133.10333333333332</v>
      </c>
      <c r="M12" s="16">
        <v>2025</v>
      </c>
      <c r="N12">
        <f>SUMIFS(gamelog!$I$632:$I$754,gamelog!$D$632:$D$754,C12)+SUMIFS(gamelog!$J$632:$J$754,gamelog!$G$632:$G$754,C12)</f>
        <v>820.42</v>
      </c>
      <c r="O12">
        <f t="shared" si="3"/>
        <v>-62.360000000000014</v>
      </c>
    </row>
    <row r="13" spans="1:15" ht="14.25" customHeight="1" x14ac:dyDescent="0.25">
      <c r="A13" s="35">
        <v>12</v>
      </c>
      <c r="B13" s="34" t="s">
        <v>500</v>
      </c>
      <c r="C13" s="34" t="s">
        <v>485</v>
      </c>
      <c r="D13" s="16">
        <v>6</v>
      </c>
      <c r="E13" s="16">
        <v>1</v>
      </c>
      <c r="F13" s="16">
        <v>5</v>
      </c>
      <c r="G13" s="16">
        <v>0</v>
      </c>
      <c r="H13" s="14">
        <f t="shared" si="0"/>
        <v>0.16666666666666666</v>
      </c>
      <c r="I13" s="16">
        <v>757.12</v>
      </c>
      <c r="J13" s="16">
        <v>936.32</v>
      </c>
      <c r="K13" s="5">
        <f t="shared" si="1"/>
        <v>126.18666666666667</v>
      </c>
      <c r="L13" s="5">
        <f t="shared" si="2"/>
        <v>156.05333333333334</v>
      </c>
      <c r="M13" s="16">
        <v>2025</v>
      </c>
      <c r="N13">
        <f>SUMIFS(gamelog!$I$632:$I$754,gamelog!$D$632:$D$754,C13)+SUMIFS(gamelog!$J$632:$J$754,gamelog!$G$632:$G$754,C13)</f>
        <v>794.68</v>
      </c>
      <c r="O13">
        <f t="shared" si="3"/>
        <v>-37.559999999999945</v>
      </c>
    </row>
    <row r="14" spans="1:15" ht="14.25" customHeight="1" x14ac:dyDescent="0.25">
      <c r="A14" s="13">
        <v>1</v>
      </c>
      <c r="B14" s="13" t="s">
        <v>78</v>
      </c>
      <c r="C14" s="13" t="s">
        <v>520</v>
      </c>
      <c r="D14" s="13">
        <v>14</v>
      </c>
      <c r="E14" s="1">
        <v>11</v>
      </c>
      <c r="F14" s="1">
        <v>3</v>
      </c>
      <c r="G14" s="1">
        <v>0</v>
      </c>
      <c r="H14" s="14">
        <f t="shared" ref="H14:H23" si="4">E14/D14</f>
        <v>0.7857142857142857</v>
      </c>
      <c r="I14" s="13">
        <v>2121.84</v>
      </c>
      <c r="J14" s="13">
        <v>1785.26</v>
      </c>
      <c r="K14" s="5">
        <f t="shared" ref="K14:K23" si="5">I14/D14</f>
        <v>151.56</v>
      </c>
      <c r="L14" s="5">
        <f t="shared" ref="L14:L23" si="6">J14/D14</f>
        <v>127.51857142857143</v>
      </c>
      <c r="M14" s="13">
        <v>2024</v>
      </c>
    </row>
    <row r="15" spans="1:15" ht="14.25" customHeight="1" x14ac:dyDescent="0.25">
      <c r="A15" s="13">
        <v>2</v>
      </c>
      <c r="B15" s="32" t="s">
        <v>502</v>
      </c>
      <c r="C15" s="19" t="s">
        <v>508</v>
      </c>
      <c r="D15" s="13">
        <v>14</v>
      </c>
      <c r="E15" s="1">
        <v>9</v>
      </c>
      <c r="F15" s="1">
        <v>5</v>
      </c>
      <c r="G15" s="1">
        <v>0</v>
      </c>
      <c r="H15" s="14">
        <f t="shared" si="4"/>
        <v>0.6428571428571429</v>
      </c>
      <c r="I15" s="13">
        <v>1973.7</v>
      </c>
      <c r="J15" s="13">
        <v>1843.98</v>
      </c>
      <c r="K15" s="5">
        <f t="shared" si="5"/>
        <v>140.97857142857143</v>
      </c>
      <c r="L15" s="5">
        <f t="shared" si="6"/>
        <v>131.71285714285713</v>
      </c>
      <c r="M15" s="13">
        <v>2024</v>
      </c>
    </row>
    <row r="16" spans="1:15" ht="14.25" customHeight="1" x14ac:dyDescent="0.25">
      <c r="A16" s="13">
        <v>3</v>
      </c>
      <c r="B16" s="32" t="s">
        <v>496</v>
      </c>
      <c r="C16" s="1" t="s">
        <v>530</v>
      </c>
      <c r="D16" s="13">
        <v>14</v>
      </c>
      <c r="E16" s="1">
        <v>8</v>
      </c>
      <c r="F16" s="1">
        <v>6</v>
      </c>
      <c r="G16" s="1">
        <v>0</v>
      </c>
      <c r="H16" s="14">
        <f t="shared" si="4"/>
        <v>0.5714285714285714</v>
      </c>
      <c r="I16" s="13">
        <v>1893.2</v>
      </c>
      <c r="J16" s="13">
        <v>1644.42</v>
      </c>
      <c r="K16" s="5">
        <f t="shared" si="5"/>
        <v>135.22857142857143</v>
      </c>
      <c r="L16" s="5">
        <f t="shared" si="6"/>
        <v>117.45857142857143</v>
      </c>
      <c r="M16" s="13">
        <v>2024</v>
      </c>
    </row>
    <row r="17" spans="1:13" ht="14.25" customHeight="1" x14ac:dyDescent="0.25">
      <c r="A17" s="13">
        <v>4</v>
      </c>
      <c r="B17" s="13" t="s">
        <v>243</v>
      </c>
      <c r="C17" s="1" t="s">
        <v>528</v>
      </c>
      <c r="D17" s="13">
        <v>14</v>
      </c>
      <c r="E17" s="1">
        <v>7</v>
      </c>
      <c r="F17" s="1">
        <v>7</v>
      </c>
      <c r="G17" s="1">
        <v>0</v>
      </c>
      <c r="H17" s="14">
        <f t="shared" si="4"/>
        <v>0.5</v>
      </c>
      <c r="I17" s="13">
        <v>1959.4</v>
      </c>
      <c r="J17" s="13">
        <v>1903.9</v>
      </c>
      <c r="K17" s="5">
        <f t="shared" si="5"/>
        <v>139.95714285714286</v>
      </c>
      <c r="L17" s="5">
        <f t="shared" si="6"/>
        <v>135.99285714285716</v>
      </c>
      <c r="M17" s="13">
        <v>2024</v>
      </c>
    </row>
    <row r="18" spans="1:13" ht="14.25" customHeight="1" x14ac:dyDescent="0.25">
      <c r="A18" s="13">
        <v>5</v>
      </c>
      <c r="B18" s="32" t="s">
        <v>530</v>
      </c>
      <c r="C18" s="35" t="s">
        <v>530</v>
      </c>
      <c r="D18" s="13">
        <v>14</v>
      </c>
      <c r="E18" s="1">
        <v>7</v>
      </c>
      <c r="F18" s="1">
        <v>7</v>
      </c>
      <c r="G18" s="1">
        <v>0</v>
      </c>
      <c r="H18" s="14">
        <f t="shared" si="4"/>
        <v>0.5</v>
      </c>
      <c r="I18" s="13">
        <v>1868.66</v>
      </c>
      <c r="J18" s="13">
        <v>1927.22</v>
      </c>
      <c r="K18" s="5">
        <f t="shared" si="5"/>
        <v>133.4757142857143</v>
      </c>
      <c r="L18" s="5">
        <f t="shared" si="6"/>
        <v>137.65857142857143</v>
      </c>
      <c r="M18" s="13">
        <v>2024</v>
      </c>
    </row>
    <row r="19" spans="1:13" ht="14.25" customHeight="1" x14ac:dyDescent="0.25">
      <c r="A19" s="13">
        <v>6</v>
      </c>
      <c r="B19" s="32" t="s">
        <v>497</v>
      </c>
      <c r="C19" s="35" t="s">
        <v>509</v>
      </c>
      <c r="D19" s="13">
        <v>14</v>
      </c>
      <c r="E19" s="1">
        <v>7</v>
      </c>
      <c r="F19" s="1">
        <v>7</v>
      </c>
      <c r="G19" s="1">
        <v>0</v>
      </c>
      <c r="H19" s="14">
        <f t="shared" si="4"/>
        <v>0.5</v>
      </c>
      <c r="I19" s="13">
        <v>1783.84</v>
      </c>
      <c r="J19" s="13">
        <v>1831.3</v>
      </c>
      <c r="K19" s="5">
        <f t="shared" si="5"/>
        <v>127.41714285714285</v>
      </c>
      <c r="L19" s="5">
        <f t="shared" si="6"/>
        <v>130.80714285714285</v>
      </c>
      <c r="M19" s="13">
        <v>2024</v>
      </c>
    </row>
    <row r="20" spans="1:13" ht="14.25" customHeight="1" x14ac:dyDescent="0.25">
      <c r="A20" s="13">
        <v>7</v>
      </c>
      <c r="B20" s="32" t="s">
        <v>239</v>
      </c>
      <c r="C20" s="19" t="s">
        <v>512</v>
      </c>
      <c r="D20" s="13">
        <v>14</v>
      </c>
      <c r="E20" s="1">
        <v>6</v>
      </c>
      <c r="F20" s="1">
        <v>8</v>
      </c>
      <c r="G20" s="1">
        <v>0</v>
      </c>
      <c r="H20" s="14">
        <f t="shared" si="4"/>
        <v>0.42857142857142855</v>
      </c>
      <c r="I20" s="13">
        <v>1866.06</v>
      </c>
      <c r="J20" s="13">
        <v>1925.6</v>
      </c>
      <c r="K20" s="5">
        <f t="shared" si="5"/>
        <v>133.29</v>
      </c>
      <c r="L20" s="5">
        <f t="shared" si="6"/>
        <v>137.54285714285714</v>
      </c>
      <c r="M20" s="13">
        <v>2024</v>
      </c>
    </row>
    <row r="21" spans="1:13" ht="14.25" customHeight="1" x14ac:dyDescent="0.25">
      <c r="A21" s="13">
        <v>8</v>
      </c>
      <c r="B21" s="32" t="s">
        <v>495</v>
      </c>
      <c r="C21" s="35" t="s">
        <v>510</v>
      </c>
      <c r="D21" s="13">
        <v>14</v>
      </c>
      <c r="E21" s="1">
        <v>6</v>
      </c>
      <c r="F21" s="1">
        <v>8</v>
      </c>
      <c r="G21" s="1">
        <v>0</v>
      </c>
      <c r="H21" s="14">
        <f t="shared" si="4"/>
        <v>0.42857142857142855</v>
      </c>
      <c r="I21" s="13">
        <v>1806.52</v>
      </c>
      <c r="J21" s="13">
        <v>1881.26</v>
      </c>
      <c r="K21" s="5">
        <f t="shared" si="5"/>
        <v>129.03714285714287</v>
      </c>
      <c r="L21" s="5">
        <f t="shared" si="6"/>
        <v>134.37571428571428</v>
      </c>
      <c r="M21" s="13">
        <v>2024</v>
      </c>
    </row>
    <row r="22" spans="1:13" ht="14.25" customHeight="1" x14ac:dyDescent="0.25">
      <c r="A22" s="13">
        <v>9</v>
      </c>
      <c r="B22" s="18" t="s">
        <v>236</v>
      </c>
      <c r="C22" s="19" t="s">
        <v>510</v>
      </c>
      <c r="D22" s="13">
        <v>14</v>
      </c>
      <c r="E22" s="1">
        <v>5</v>
      </c>
      <c r="F22" s="1">
        <v>8</v>
      </c>
      <c r="G22" s="1">
        <v>0</v>
      </c>
      <c r="H22" s="14">
        <f t="shared" si="4"/>
        <v>0.35714285714285715</v>
      </c>
      <c r="I22" s="13">
        <v>1674.04</v>
      </c>
      <c r="J22" s="13">
        <v>1900.13</v>
      </c>
      <c r="K22" s="5">
        <f t="shared" si="5"/>
        <v>119.57428571428571</v>
      </c>
      <c r="L22" s="5">
        <f t="shared" si="6"/>
        <v>135.72357142857143</v>
      </c>
      <c r="M22" s="13">
        <v>2024</v>
      </c>
    </row>
    <row r="23" spans="1:13" ht="14.25" customHeight="1" x14ac:dyDescent="0.25">
      <c r="A23" s="13">
        <v>10</v>
      </c>
      <c r="B23" s="13" t="s">
        <v>500</v>
      </c>
      <c r="C23" s="19" t="s">
        <v>485</v>
      </c>
      <c r="D23" s="13">
        <v>14</v>
      </c>
      <c r="E23" s="1">
        <v>3</v>
      </c>
      <c r="F23" s="1">
        <v>11</v>
      </c>
      <c r="G23" s="1">
        <v>0</v>
      </c>
      <c r="H23" s="14">
        <f t="shared" si="4"/>
        <v>0.21428571428571427</v>
      </c>
      <c r="I23" s="13">
        <v>1597.18</v>
      </c>
      <c r="J23" s="13">
        <v>1901.34</v>
      </c>
      <c r="K23" s="5">
        <f t="shared" si="5"/>
        <v>114.08428571428571</v>
      </c>
      <c r="L23" s="5">
        <f t="shared" si="6"/>
        <v>135.81</v>
      </c>
      <c r="M23" s="13">
        <v>2024</v>
      </c>
    </row>
    <row r="24" spans="1:13" ht="14.25" customHeight="1" x14ac:dyDescent="0.25">
      <c r="A24" s="13">
        <v>1</v>
      </c>
      <c r="B24" s="13" t="s">
        <v>497</v>
      </c>
      <c r="C24" s="13" t="s">
        <v>509</v>
      </c>
      <c r="D24" s="13">
        <v>13</v>
      </c>
      <c r="E24" s="1">
        <v>11</v>
      </c>
      <c r="F24" s="1">
        <v>2</v>
      </c>
      <c r="G24" s="1">
        <v>0</v>
      </c>
      <c r="H24" s="14">
        <f t="shared" ref="H24:H33" si="7">E24/D24</f>
        <v>0.84615384615384615</v>
      </c>
      <c r="I24" s="13">
        <v>1876.36</v>
      </c>
      <c r="J24" s="13">
        <v>1516.78</v>
      </c>
      <c r="K24" s="5">
        <f t="shared" ref="K24:K33" si="8">I24/D24</f>
        <v>144.33538461538461</v>
      </c>
      <c r="L24" s="5">
        <f t="shared" ref="L24:L33" si="9">J24/D24</f>
        <v>116.67538461538462</v>
      </c>
      <c r="M24" s="13">
        <v>2023</v>
      </c>
    </row>
    <row r="25" spans="1:13" ht="14.25" customHeight="1" x14ac:dyDescent="0.25">
      <c r="A25" s="13">
        <v>2</v>
      </c>
      <c r="B25" s="13" t="s">
        <v>243</v>
      </c>
      <c r="C25" s="13" t="s">
        <v>513</v>
      </c>
      <c r="D25" s="13">
        <v>13</v>
      </c>
      <c r="E25" s="1">
        <v>10</v>
      </c>
      <c r="F25" s="1">
        <v>3</v>
      </c>
      <c r="G25" s="1">
        <v>0</v>
      </c>
      <c r="H25" s="14">
        <f t="shared" si="7"/>
        <v>0.76923076923076927</v>
      </c>
      <c r="I25" s="13">
        <v>1773.12</v>
      </c>
      <c r="J25" s="13">
        <v>1624.7</v>
      </c>
      <c r="K25" s="5">
        <f t="shared" si="8"/>
        <v>136.39384615384614</v>
      </c>
      <c r="L25" s="5">
        <f t="shared" si="9"/>
        <v>124.97692307692309</v>
      </c>
      <c r="M25" s="13">
        <v>2023</v>
      </c>
    </row>
    <row r="26" spans="1:13" ht="14.25" customHeight="1" x14ac:dyDescent="0.25">
      <c r="A26" s="13">
        <v>3</v>
      </c>
      <c r="B26" s="13" t="s">
        <v>78</v>
      </c>
      <c r="C26" s="13" t="s">
        <v>520</v>
      </c>
      <c r="D26" s="13">
        <v>13</v>
      </c>
      <c r="E26" s="1">
        <v>9</v>
      </c>
      <c r="F26" s="1">
        <v>4</v>
      </c>
      <c r="G26" s="1">
        <v>0</v>
      </c>
      <c r="H26" s="14">
        <f t="shared" si="7"/>
        <v>0.69230769230769229</v>
      </c>
      <c r="I26" s="13">
        <v>1808.08</v>
      </c>
      <c r="J26" s="13">
        <v>1621.7</v>
      </c>
      <c r="K26" s="5">
        <f t="shared" si="8"/>
        <v>139.08307692307693</v>
      </c>
      <c r="L26" s="5">
        <f t="shared" si="9"/>
        <v>124.74615384615385</v>
      </c>
      <c r="M26" s="13">
        <v>2023</v>
      </c>
    </row>
    <row r="27" spans="1:13" ht="14.25" customHeight="1" x14ac:dyDescent="0.25">
      <c r="A27" s="13">
        <v>4</v>
      </c>
      <c r="B27" s="13" t="s">
        <v>496</v>
      </c>
      <c r="C27" s="1" t="s">
        <v>529</v>
      </c>
      <c r="D27" s="13">
        <v>13</v>
      </c>
      <c r="E27" s="1">
        <v>7</v>
      </c>
      <c r="F27" s="1">
        <v>6</v>
      </c>
      <c r="G27" s="1">
        <v>0</v>
      </c>
      <c r="H27" s="14">
        <f t="shared" si="7"/>
        <v>0.53846153846153844</v>
      </c>
      <c r="I27" s="13">
        <v>1832.64</v>
      </c>
      <c r="J27" s="13">
        <v>1686.6</v>
      </c>
      <c r="K27" s="5">
        <f t="shared" si="8"/>
        <v>140.97230769230771</v>
      </c>
      <c r="L27" s="5">
        <f t="shared" si="9"/>
        <v>129.73846153846154</v>
      </c>
      <c r="M27" s="13">
        <v>2023</v>
      </c>
    </row>
    <row r="28" spans="1:13" ht="14.25" customHeight="1" x14ac:dyDescent="0.25">
      <c r="A28" s="13">
        <v>5</v>
      </c>
      <c r="B28" s="13" t="s">
        <v>495</v>
      </c>
      <c r="C28" s="13" t="s">
        <v>510</v>
      </c>
      <c r="D28" s="13">
        <v>13</v>
      </c>
      <c r="E28" s="1">
        <v>6</v>
      </c>
      <c r="F28" s="1">
        <v>7</v>
      </c>
      <c r="G28" s="1">
        <v>0</v>
      </c>
      <c r="H28" s="14">
        <f t="shared" si="7"/>
        <v>0.46153846153846156</v>
      </c>
      <c r="I28" s="13">
        <v>1872.74</v>
      </c>
      <c r="J28" s="13">
        <v>1814.04</v>
      </c>
      <c r="K28" s="5">
        <f t="shared" si="8"/>
        <v>144.05692307692308</v>
      </c>
      <c r="L28" s="5">
        <f t="shared" si="9"/>
        <v>139.54153846153847</v>
      </c>
      <c r="M28" s="13">
        <v>2023</v>
      </c>
    </row>
    <row r="29" spans="1:13" ht="14.25" customHeight="1" x14ac:dyDescent="0.25">
      <c r="A29" s="13">
        <v>6</v>
      </c>
      <c r="B29" s="13" t="s">
        <v>500</v>
      </c>
      <c r="C29" s="13" t="s">
        <v>485</v>
      </c>
      <c r="D29" s="13">
        <v>13</v>
      </c>
      <c r="E29" s="1">
        <v>6</v>
      </c>
      <c r="F29" s="1">
        <v>7</v>
      </c>
      <c r="G29" s="1">
        <v>0</v>
      </c>
      <c r="H29" s="14">
        <f t="shared" si="7"/>
        <v>0.46153846153846156</v>
      </c>
      <c r="I29" s="13">
        <v>1666.44</v>
      </c>
      <c r="J29" s="13">
        <v>1608.02</v>
      </c>
      <c r="K29" s="5">
        <f t="shared" si="8"/>
        <v>128.18769230769232</v>
      </c>
      <c r="L29" s="5">
        <f t="shared" si="9"/>
        <v>123.69384615384615</v>
      </c>
      <c r="M29" s="13">
        <v>2023</v>
      </c>
    </row>
    <row r="30" spans="1:13" ht="14.25" customHeight="1" x14ac:dyDescent="0.25">
      <c r="A30" s="13">
        <v>7</v>
      </c>
      <c r="B30" s="13" t="s">
        <v>239</v>
      </c>
      <c r="C30" s="13" t="s">
        <v>512</v>
      </c>
      <c r="D30" s="13">
        <v>13</v>
      </c>
      <c r="E30" s="1">
        <v>6</v>
      </c>
      <c r="F30" s="1">
        <v>7</v>
      </c>
      <c r="G30" s="1">
        <v>0</v>
      </c>
      <c r="H30" s="14">
        <f t="shared" si="7"/>
        <v>0.46153846153846156</v>
      </c>
      <c r="I30" s="13">
        <v>1630.5</v>
      </c>
      <c r="J30" s="13">
        <v>1752.36</v>
      </c>
      <c r="K30" s="5">
        <f t="shared" si="8"/>
        <v>125.42307692307692</v>
      </c>
      <c r="L30" s="5">
        <f t="shared" si="9"/>
        <v>134.79692307692306</v>
      </c>
      <c r="M30" s="13">
        <v>2023</v>
      </c>
    </row>
    <row r="31" spans="1:13" ht="14.25" customHeight="1" x14ac:dyDescent="0.25">
      <c r="A31" s="13">
        <v>8</v>
      </c>
      <c r="B31" s="13" t="s">
        <v>236</v>
      </c>
      <c r="C31" s="13" t="s">
        <v>24</v>
      </c>
      <c r="D31" s="13">
        <v>13</v>
      </c>
      <c r="E31" s="1">
        <v>5</v>
      </c>
      <c r="F31" s="1">
        <v>8</v>
      </c>
      <c r="G31" s="1">
        <v>0</v>
      </c>
      <c r="H31" s="14">
        <f t="shared" si="7"/>
        <v>0.38461538461538464</v>
      </c>
      <c r="I31" s="13">
        <v>1507.18</v>
      </c>
      <c r="J31" s="13">
        <v>1786.66</v>
      </c>
      <c r="K31" s="5">
        <f t="shared" si="8"/>
        <v>115.93692307692308</v>
      </c>
      <c r="L31" s="5">
        <f t="shared" si="9"/>
        <v>137.43538461538463</v>
      </c>
      <c r="M31" s="13">
        <v>2023</v>
      </c>
    </row>
    <row r="32" spans="1:13" ht="14.25" customHeight="1" x14ac:dyDescent="0.25">
      <c r="A32" s="13">
        <v>9</v>
      </c>
      <c r="B32" s="13" t="s">
        <v>501</v>
      </c>
      <c r="C32" s="13" t="s">
        <v>508</v>
      </c>
      <c r="D32" s="13">
        <v>13</v>
      </c>
      <c r="E32" s="1">
        <v>3</v>
      </c>
      <c r="F32" s="1">
        <v>10</v>
      </c>
      <c r="G32" s="1">
        <v>0</v>
      </c>
      <c r="H32" s="14">
        <f t="shared" si="7"/>
        <v>0.23076923076923078</v>
      </c>
      <c r="I32" s="13">
        <v>1584.42</v>
      </c>
      <c r="J32" s="13">
        <v>1809.04</v>
      </c>
      <c r="K32" s="5">
        <f t="shared" si="8"/>
        <v>121.87846153846155</v>
      </c>
      <c r="L32" s="5">
        <f t="shared" si="9"/>
        <v>139.15692307692308</v>
      </c>
      <c r="M32" s="13">
        <v>2023</v>
      </c>
    </row>
    <row r="33" spans="1:13" ht="14.25" customHeight="1" x14ac:dyDescent="0.25">
      <c r="A33" s="13">
        <v>10</v>
      </c>
      <c r="B33" s="13" t="s">
        <v>522</v>
      </c>
      <c r="C33" s="1" t="s">
        <v>530</v>
      </c>
      <c r="D33" s="13">
        <v>13</v>
      </c>
      <c r="E33" s="1">
        <v>2</v>
      </c>
      <c r="F33" s="1">
        <v>11</v>
      </c>
      <c r="G33" s="1">
        <v>0</v>
      </c>
      <c r="H33" s="14">
        <f t="shared" si="7"/>
        <v>0.15384615384615385</v>
      </c>
      <c r="I33" s="13">
        <v>1381.52</v>
      </c>
      <c r="J33" s="13">
        <v>1713.1</v>
      </c>
      <c r="K33" s="5">
        <f t="shared" si="8"/>
        <v>106.27076923076923</v>
      </c>
      <c r="L33" s="5">
        <f t="shared" si="9"/>
        <v>131.77692307692308</v>
      </c>
      <c r="M33" s="13">
        <v>2023</v>
      </c>
    </row>
    <row r="34" spans="1:13" ht="14.25" customHeight="1" x14ac:dyDescent="0.25">
      <c r="A34" s="13">
        <v>1</v>
      </c>
      <c r="B34" s="13" t="s">
        <v>497</v>
      </c>
      <c r="C34" s="13" t="s">
        <v>509</v>
      </c>
      <c r="D34" s="13">
        <v>14</v>
      </c>
      <c r="E34" s="1">
        <v>9</v>
      </c>
      <c r="F34" s="1">
        <v>5</v>
      </c>
      <c r="G34" s="1">
        <v>0</v>
      </c>
      <c r="H34" s="14">
        <f>E34/D34</f>
        <v>0.6428571428571429</v>
      </c>
      <c r="I34" s="13">
        <v>1761.14</v>
      </c>
      <c r="J34" s="13">
        <v>1580.12</v>
      </c>
      <c r="K34" s="5">
        <f t="shared" ref="K34:K43" si="10">I34/D34</f>
        <v>125.7957142857143</v>
      </c>
      <c r="L34" s="5">
        <f t="shared" ref="L34:L43" si="11">J34/D34</f>
        <v>112.86571428571428</v>
      </c>
      <c r="M34" s="13">
        <v>2022</v>
      </c>
    </row>
    <row r="35" spans="1:13" ht="14.25" customHeight="1" x14ac:dyDescent="0.25">
      <c r="A35" s="13">
        <v>2</v>
      </c>
      <c r="B35" s="13" t="s">
        <v>522</v>
      </c>
      <c r="C35" s="1" t="s">
        <v>530</v>
      </c>
      <c r="D35" s="13">
        <v>14</v>
      </c>
      <c r="E35" s="1">
        <v>9</v>
      </c>
      <c r="F35" s="1">
        <v>5</v>
      </c>
      <c r="G35" s="1">
        <v>0</v>
      </c>
      <c r="H35" s="14">
        <f t="shared" ref="H35:H43" si="12">E35/D35</f>
        <v>0.6428571428571429</v>
      </c>
      <c r="I35" s="13">
        <v>1756.24</v>
      </c>
      <c r="J35" s="13">
        <v>1630.42</v>
      </c>
      <c r="K35" s="5">
        <f t="shared" si="10"/>
        <v>125.44571428571429</v>
      </c>
      <c r="L35" s="5">
        <f t="shared" si="11"/>
        <v>116.45857142857143</v>
      </c>
      <c r="M35" s="13">
        <v>2022</v>
      </c>
    </row>
    <row r="36" spans="1:13" ht="14.25" customHeight="1" x14ac:dyDescent="0.25">
      <c r="A36" s="13">
        <v>3</v>
      </c>
      <c r="B36" s="13" t="s">
        <v>239</v>
      </c>
      <c r="C36" s="13" t="s">
        <v>512</v>
      </c>
      <c r="D36" s="13">
        <v>14</v>
      </c>
      <c r="E36" s="1">
        <v>9</v>
      </c>
      <c r="F36" s="1">
        <v>5</v>
      </c>
      <c r="G36" s="1">
        <v>0</v>
      </c>
      <c r="H36" s="14">
        <f t="shared" si="12"/>
        <v>0.6428571428571429</v>
      </c>
      <c r="I36" s="13">
        <v>1712.7</v>
      </c>
      <c r="J36" s="13">
        <v>1633.78</v>
      </c>
      <c r="K36" s="5">
        <f t="shared" si="10"/>
        <v>122.33571428571429</v>
      </c>
      <c r="L36" s="5">
        <f t="shared" si="11"/>
        <v>116.69857142857143</v>
      </c>
      <c r="M36" s="13">
        <v>2022</v>
      </c>
    </row>
    <row r="37" spans="1:13" ht="14.25" customHeight="1" x14ac:dyDescent="0.25">
      <c r="A37" s="13">
        <v>4</v>
      </c>
      <c r="B37" s="13" t="s">
        <v>496</v>
      </c>
      <c r="C37" s="1" t="s">
        <v>529</v>
      </c>
      <c r="D37" s="13">
        <v>14</v>
      </c>
      <c r="E37" s="1">
        <v>9</v>
      </c>
      <c r="F37" s="1">
        <v>5</v>
      </c>
      <c r="G37" s="1">
        <v>0</v>
      </c>
      <c r="H37" s="14">
        <f t="shared" si="12"/>
        <v>0.6428571428571429</v>
      </c>
      <c r="I37" s="13">
        <v>1616.99</v>
      </c>
      <c r="J37" s="13">
        <v>1467.98</v>
      </c>
      <c r="K37" s="5">
        <f t="shared" si="10"/>
        <v>115.49928571428572</v>
      </c>
      <c r="L37" s="5">
        <f t="shared" si="11"/>
        <v>104.85571428571428</v>
      </c>
      <c r="M37" s="13">
        <v>2022</v>
      </c>
    </row>
    <row r="38" spans="1:13" ht="14.25" customHeight="1" x14ac:dyDescent="0.25">
      <c r="A38" s="13">
        <v>5</v>
      </c>
      <c r="B38" s="13" t="s">
        <v>236</v>
      </c>
      <c r="C38" s="13" t="s">
        <v>24</v>
      </c>
      <c r="D38" s="13">
        <v>14</v>
      </c>
      <c r="E38" s="1">
        <v>8</v>
      </c>
      <c r="F38" s="1">
        <v>6</v>
      </c>
      <c r="G38" s="1">
        <v>0</v>
      </c>
      <c r="H38" s="14">
        <f t="shared" si="12"/>
        <v>0.5714285714285714</v>
      </c>
      <c r="I38" s="13">
        <v>1713.9</v>
      </c>
      <c r="J38" s="13">
        <v>1632.38</v>
      </c>
      <c r="K38" s="5">
        <f t="shared" si="10"/>
        <v>122.42142857142858</v>
      </c>
      <c r="L38" s="5">
        <f t="shared" si="11"/>
        <v>116.59857142857143</v>
      </c>
      <c r="M38" s="13">
        <v>2022</v>
      </c>
    </row>
    <row r="39" spans="1:13" ht="14.25" customHeight="1" x14ac:dyDescent="0.25">
      <c r="A39" s="13">
        <v>6</v>
      </c>
      <c r="B39" s="13" t="s">
        <v>78</v>
      </c>
      <c r="C39" s="13" t="s">
        <v>520</v>
      </c>
      <c r="D39" s="13">
        <v>14</v>
      </c>
      <c r="E39" s="1">
        <v>8</v>
      </c>
      <c r="F39" s="1">
        <v>6</v>
      </c>
      <c r="G39" s="1">
        <v>0</v>
      </c>
      <c r="H39" s="14">
        <f t="shared" si="12"/>
        <v>0.5714285714285714</v>
      </c>
      <c r="I39" s="13">
        <v>1597.74</v>
      </c>
      <c r="J39" s="13">
        <v>1610.02</v>
      </c>
      <c r="K39" s="5">
        <f t="shared" si="10"/>
        <v>114.12428571428572</v>
      </c>
      <c r="L39" s="5">
        <f t="shared" si="11"/>
        <v>115.00142857142858</v>
      </c>
      <c r="M39" s="13">
        <v>2022</v>
      </c>
    </row>
    <row r="40" spans="1:13" ht="14.25" customHeight="1" x14ac:dyDescent="0.25">
      <c r="A40" s="13">
        <v>7</v>
      </c>
      <c r="B40" s="13" t="s">
        <v>243</v>
      </c>
      <c r="C40" s="13" t="s">
        <v>513</v>
      </c>
      <c r="D40" s="13">
        <v>14</v>
      </c>
      <c r="E40" s="1">
        <v>6</v>
      </c>
      <c r="F40" s="1">
        <v>8</v>
      </c>
      <c r="G40" s="1">
        <v>0</v>
      </c>
      <c r="H40" s="14">
        <f t="shared" si="12"/>
        <v>0.42857142857142855</v>
      </c>
      <c r="I40" s="13">
        <v>1604.25</v>
      </c>
      <c r="J40" s="13">
        <v>1694.98</v>
      </c>
      <c r="K40" s="5">
        <f t="shared" si="10"/>
        <v>114.58928571428571</v>
      </c>
      <c r="L40" s="5">
        <f t="shared" si="11"/>
        <v>121.07000000000001</v>
      </c>
      <c r="M40" s="13">
        <v>2022</v>
      </c>
    </row>
    <row r="41" spans="1:13" ht="14.25" customHeight="1" x14ac:dyDescent="0.25">
      <c r="A41" s="13">
        <v>8</v>
      </c>
      <c r="B41" s="13" t="s">
        <v>235</v>
      </c>
      <c r="C41" s="13" t="s">
        <v>511</v>
      </c>
      <c r="D41" s="13">
        <v>14</v>
      </c>
      <c r="E41" s="1">
        <v>5</v>
      </c>
      <c r="F41" s="1">
        <v>9</v>
      </c>
      <c r="G41" s="1">
        <v>0</v>
      </c>
      <c r="H41" s="14">
        <f t="shared" si="12"/>
        <v>0.35714285714285715</v>
      </c>
      <c r="I41" s="13">
        <v>1663.46</v>
      </c>
      <c r="J41" s="13">
        <v>1672.44</v>
      </c>
      <c r="K41" s="5">
        <f t="shared" si="10"/>
        <v>118.81857142857143</v>
      </c>
      <c r="L41" s="5">
        <f t="shared" si="11"/>
        <v>119.46000000000001</v>
      </c>
      <c r="M41" s="13">
        <v>2022</v>
      </c>
    </row>
    <row r="42" spans="1:13" ht="14.25" customHeight="1" x14ac:dyDescent="0.25">
      <c r="A42" s="13">
        <v>9</v>
      </c>
      <c r="B42" s="13" t="s">
        <v>494</v>
      </c>
      <c r="C42" s="13" t="s">
        <v>508</v>
      </c>
      <c r="D42" s="13">
        <v>14</v>
      </c>
      <c r="E42" s="1">
        <v>4</v>
      </c>
      <c r="F42" s="1">
        <v>10</v>
      </c>
      <c r="G42" s="1">
        <v>0</v>
      </c>
      <c r="H42" s="14">
        <f t="shared" si="12"/>
        <v>0.2857142857142857</v>
      </c>
      <c r="I42" s="13">
        <v>1457.68</v>
      </c>
      <c r="J42" s="13">
        <v>1699.1</v>
      </c>
      <c r="K42" s="5">
        <f t="shared" si="10"/>
        <v>104.12</v>
      </c>
      <c r="L42" s="5">
        <f t="shared" si="11"/>
        <v>121.36428571428571</v>
      </c>
      <c r="M42" s="13">
        <v>2022</v>
      </c>
    </row>
    <row r="43" spans="1:13" ht="14.25" customHeight="1" x14ac:dyDescent="0.25">
      <c r="A43" s="13">
        <v>10</v>
      </c>
      <c r="B43" s="13" t="s">
        <v>495</v>
      </c>
      <c r="C43" s="13" t="s">
        <v>510</v>
      </c>
      <c r="D43" s="13">
        <v>14</v>
      </c>
      <c r="E43" s="1">
        <v>3</v>
      </c>
      <c r="F43" s="1">
        <v>11</v>
      </c>
      <c r="G43" s="1">
        <v>0</v>
      </c>
      <c r="H43" s="14">
        <f t="shared" si="12"/>
        <v>0.21428571428571427</v>
      </c>
      <c r="I43" s="13">
        <v>1579.56</v>
      </c>
      <c r="J43" s="13">
        <v>1742.44</v>
      </c>
      <c r="K43" s="5">
        <f t="shared" si="10"/>
        <v>112.82571428571428</v>
      </c>
      <c r="L43" s="5">
        <f t="shared" si="11"/>
        <v>124.46000000000001</v>
      </c>
      <c r="M43" s="13">
        <v>2022</v>
      </c>
    </row>
    <row r="44" spans="1:13" ht="14.25" customHeight="1" x14ac:dyDescent="0.25">
      <c r="A44" s="4">
        <v>1</v>
      </c>
      <c r="B44" s="4" t="s">
        <v>3</v>
      </c>
      <c r="C44" s="1" t="s">
        <v>529</v>
      </c>
      <c r="D44" s="4">
        <v>14</v>
      </c>
      <c r="E44" s="4">
        <v>10</v>
      </c>
      <c r="F44" s="4">
        <v>4</v>
      </c>
      <c r="G44" s="1">
        <v>0</v>
      </c>
      <c r="H44" s="2">
        <f t="shared" ref="H44:H63" si="13">E44/D44</f>
        <v>0.7142857142857143</v>
      </c>
      <c r="I44" s="4">
        <v>1824.96</v>
      </c>
      <c r="J44" s="4">
        <v>1669.92</v>
      </c>
      <c r="K44" s="5">
        <f t="shared" ref="K44:K101" si="14">I44/D44</f>
        <v>130.35428571428571</v>
      </c>
      <c r="L44" s="5">
        <f t="shared" ref="L44:L101" si="15">J44/D44</f>
        <v>119.28</v>
      </c>
      <c r="M44" s="4">
        <v>2021</v>
      </c>
    </row>
    <row r="45" spans="1:13" ht="14.25" customHeight="1" x14ac:dyDescent="0.25">
      <c r="A45" s="4">
        <v>2</v>
      </c>
      <c r="B45" s="4" t="s">
        <v>235</v>
      </c>
      <c r="C45" s="4" t="s">
        <v>511</v>
      </c>
      <c r="D45" s="4">
        <v>14</v>
      </c>
      <c r="E45" s="4">
        <v>9</v>
      </c>
      <c r="F45" s="4">
        <v>5</v>
      </c>
      <c r="G45" s="1">
        <v>0</v>
      </c>
      <c r="H45" s="2">
        <f t="shared" si="13"/>
        <v>0.6428571428571429</v>
      </c>
      <c r="I45" s="4">
        <v>2044.38</v>
      </c>
      <c r="J45" s="4">
        <v>1706.56</v>
      </c>
      <c r="K45" s="5">
        <f t="shared" si="14"/>
        <v>146.02714285714288</v>
      </c>
      <c r="L45" s="5">
        <f t="shared" si="15"/>
        <v>121.89714285714285</v>
      </c>
      <c r="M45" s="4">
        <v>2021</v>
      </c>
    </row>
    <row r="46" spans="1:13" ht="14.25" customHeight="1" x14ac:dyDescent="0.25">
      <c r="A46" s="4">
        <v>3</v>
      </c>
      <c r="B46" s="4" t="s">
        <v>236</v>
      </c>
      <c r="C46" s="4" t="s">
        <v>24</v>
      </c>
      <c r="D46" s="4">
        <v>14</v>
      </c>
      <c r="E46" s="4">
        <v>9</v>
      </c>
      <c r="F46" s="4">
        <v>5</v>
      </c>
      <c r="G46" s="1">
        <v>0</v>
      </c>
      <c r="H46" s="2">
        <f t="shared" si="13"/>
        <v>0.6428571428571429</v>
      </c>
      <c r="I46" s="4">
        <v>1793.26</v>
      </c>
      <c r="J46" s="4">
        <v>1746.48</v>
      </c>
      <c r="K46" s="5">
        <f t="shared" si="14"/>
        <v>128.09</v>
      </c>
      <c r="L46" s="5">
        <f t="shared" si="15"/>
        <v>124.74857142857142</v>
      </c>
      <c r="M46" s="4">
        <v>2021</v>
      </c>
    </row>
    <row r="47" spans="1:13" ht="14.25" customHeight="1" x14ac:dyDescent="0.25">
      <c r="A47" s="4">
        <v>4</v>
      </c>
      <c r="B47" s="4" t="s">
        <v>240</v>
      </c>
      <c r="C47" s="4" t="s">
        <v>520</v>
      </c>
      <c r="D47" s="4">
        <v>14</v>
      </c>
      <c r="E47" s="4">
        <v>8</v>
      </c>
      <c r="F47" s="4">
        <v>6</v>
      </c>
      <c r="G47" s="1">
        <v>0</v>
      </c>
      <c r="H47" s="2">
        <f t="shared" si="13"/>
        <v>0.5714285714285714</v>
      </c>
      <c r="I47" s="4">
        <v>1768.14</v>
      </c>
      <c r="J47" s="4">
        <v>1677.78</v>
      </c>
      <c r="K47" s="5">
        <f t="shared" si="14"/>
        <v>126.2957142857143</v>
      </c>
      <c r="L47" s="5">
        <f t="shared" si="15"/>
        <v>119.84142857142857</v>
      </c>
      <c r="M47" s="4">
        <v>2021</v>
      </c>
    </row>
    <row r="48" spans="1:13" ht="14.25" customHeight="1" x14ac:dyDescent="0.25">
      <c r="A48" s="4">
        <v>5</v>
      </c>
      <c r="B48" s="4" t="s">
        <v>243</v>
      </c>
      <c r="C48" s="4" t="s">
        <v>513</v>
      </c>
      <c r="D48" s="4">
        <v>14</v>
      </c>
      <c r="E48" s="4">
        <v>7</v>
      </c>
      <c r="F48" s="4">
        <v>7</v>
      </c>
      <c r="G48" s="1">
        <v>0</v>
      </c>
      <c r="H48" s="2">
        <f t="shared" si="13"/>
        <v>0.5</v>
      </c>
      <c r="I48" s="4">
        <v>1748.62</v>
      </c>
      <c r="J48" s="4">
        <v>1654.6</v>
      </c>
      <c r="K48" s="5">
        <f t="shared" si="14"/>
        <v>124.90142857142857</v>
      </c>
      <c r="L48" s="5">
        <f t="shared" si="15"/>
        <v>118.18571428571428</v>
      </c>
      <c r="M48" s="4">
        <v>2021</v>
      </c>
    </row>
    <row r="49" spans="1:13" ht="14.25" customHeight="1" x14ac:dyDescent="0.25">
      <c r="A49" s="4">
        <v>6</v>
      </c>
      <c r="B49" s="4" t="s">
        <v>244</v>
      </c>
      <c r="C49" s="4" t="s">
        <v>510</v>
      </c>
      <c r="D49" s="4">
        <v>14</v>
      </c>
      <c r="E49" s="4">
        <v>7</v>
      </c>
      <c r="F49" s="4">
        <v>7</v>
      </c>
      <c r="G49" s="1">
        <v>0</v>
      </c>
      <c r="H49" s="2">
        <f t="shared" si="13"/>
        <v>0.5</v>
      </c>
      <c r="I49" s="4">
        <v>1441.38</v>
      </c>
      <c r="J49" s="4">
        <v>1657.8</v>
      </c>
      <c r="K49" s="5">
        <f t="shared" si="14"/>
        <v>102.95571428571429</v>
      </c>
      <c r="L49" s="5">
        <f t="shared" si="15"/>
        <v>118.41428571428571</v>
      </c>
      <c r="M49" s="4">
        <v>2021</v>
      </c>
    </row>
    <row r="50" spans="1:13" ht="14.25" customHeight="1" x14ac:dyDescent="0.25">
      <c r="A50" s="4">
        <v>7</v>
      </c>
      <c r="B50" s="4" t="s">
        <v>522</v>
      </c>
      <c r="C50" s="1" t="s">
        <v>530</v>
      </c>
      <c r="D50" s="4">
        <v>14</v>
      </c>
      <c r="E50" s="4">
        <v>6</v>
      </c>
      <c r="F50" s="4">
        <v>8</v>
      </c>
      <c r="G50" s="1">
        <v>0</v>
      </c>
      <c r="H50" s="2">
        <f t="shared" si="13"/>
        <v>0.42857142857142855</v>
      </c>
      <c r="I50" s="4">
        <v>1609.1</v>
      </c>
      <c r="J50" s="4">
        <v>1663.54</v>
      </c>
      <c r="K50" s="5">
        <f t="shared" si="14"/>
        <v>114.93571428571428</v>
      </c>
      <c r="L50" s="5">
        <f t="shared" si="15"/>
        <v>118.82428571428571</v>
      </c>
      <c r="M50" s="4">
        <v>2021</v>
      </c>
    </row>
    <row r="51" spans="1:13" ht="14.25" customHeight="1" x14ac:dyDescent="0.25">
      <c r="A51" s="4">
        <v>8</v>
      </c>
      <c r="B51" s="4" t="s">
        <v>245</v>
      </c>
      <c r="C51" s="4" t="s">
        <v>509</v>
      </c>
      <c r="D51" s="4">
        <v>14</v>
      </c>
      <c r="E51" s="4">
        <v>5</v>
      </c>
      <c r="F51" s="4">
        <v>9</v>
      </c>
      <c r="G51" s="1">
        <v>0</v>
      </c>
      <c r="H51" s="2">
        <f t="shared" si="13"/>
        <v>0.35714285714285715</v>
      </c>
      <c r="I51" s="4">
        <v>1702.08</v>
      </c>
      <c r="J51" s="4">
        <v>1694.06</v>
      </c>
      <c r="K51" s="5">
        <f t="shared" si="14"/>
        <v>121.57714285714285</v>
      </c>
      <c r="L51" s="5">
        <f t="shared" si="15"/>
        <v>121.00428571428571</v>
      </c>
      <c r="M51" s="4">
        <v>2021</v>
      </c>
    </row>
    <row r="52" spans="1:13" ht="14.25" customHeight="1" x14ac:dyDescent="0.25">
      <c r="A52" s="4">
        <v>9</v>
      </c>
      <c r="B52" s="4" t="s">
        <v>242</v>
      </c>
      <c r="C52" s="4" t="s">
        <v>508</v>
      </c>
      <c r="D52" s="4">
        <v>14</v>
      </c>
      <c r="E52" s="4">
        <v>5</v>
      </c>
      <c r="F52" s="4">
        <v>9</v>
      </c>
      <c r="G52" s="1">
        <v>0</v>
      </c>
      <c r="H52" s="2">
        <f t="shared" si="13"/>
        <v>0.35714285714285715</v>
      </c>
      <c r="I52" s="4">
        <v>1445.5</v>
      </c>
      <c r="J52" s="4">
        <v>1699.8</v>
      </c>
      <c r="K52" s="5">
        <f t="shared" si="14"/>
        <v>103.25</v>
      </c>
      <c r="L52" s="5">
        <f t="shared" si="15"/>
        <v>121.41428571428571</v>
      </c>
      <c r="M52" s="4">
        <v>2021</v>
      </c>
    </row>
    <row r="53" spans="1:13" ht="14.25" customHeight="1" x14ac:dyDescent="0.25">
      <c r="A53" s="4">
        <v>10</v>
      </c>
      <c r="B53" s="4" t="s">
        <v>239</v>
      </c>
      <c r="C53" s="4" t="s">
        <v>512</v>
      </c>
      <c r="D53" s="4">
        <v>14</v>
      </c>
      <c r="E53" s="4">
        <v>4</v>
      </c>
      <c r="F53" s="4">
        <v>10</v>
      </c>
      <c r="G53" s="1">
        <v>0</v>
      </c>
      <c r="H53" s="2">
        <f t="shared" si="13"/>
        <v>0.2857142857142857</v>
      </c>
      <c r="I53" s="4">
        <v>1463.3</v>
      </c>
      <c r="J53" s="4">
        <v>1670.18</v>
      </c>
      <c r="K53" s="5">
        <f t="shared" si="14"/>
        <v>104.52142857142857</v>
      </c>
      <c r="L53" s="5">
        <f t="shared" si="15"/>
        <v>119.29857142857144</v>
      </c>
      <c r="M53" s="4">
        <v>2021</v>
      </c>
    </row>
    <row r="54" spans="1:13" ht="14.25" customHeight="1" x14ac:dyDescent="0.25">
      <c r="A54" s="4">
        <v>1</v>
      </c>
      <c r="B54" s="4" t="s">
        <v>242</v>
      </c>
      <c r="C54" s="4" t="s">
        <v>508</v>
      </c>
      <c r="D54" s="4">
        <v>14</v>
      </c>
      <c r="E54" s="1">
        <v>10</v>
      </c>
      <c r="F54" s="1">
        <v>4</v>
      </c>
      <c r="G54" s="1">
        <v>0</v>
      </c>
      <c r="H54" s="2">
        <f t="shared" si="13"/>
        <v>0.7142857142857143</v>
      </c>
      <c r="I54" s="1">
        <v>1597</v>
      </c>
      <c r="J54" s="1">
        <v>1523</v>
      </c>
      <c r="K54" s="5">
        <f t="shared" si="14"/>
        <v>114.07142857142857</v>
      </c>
      <c r="L54" s="5">
        <f t="shared" si="15"/>
        <v>108.78571428571429</v>
      </c>
      <c r="M54" s="4">
        <v>2020</v>
      </c>
    </row>
    <row r="55" spans="1:13" ht="14.25" customHeight="1" x14ac:dyDescent="0.25">
      <c r="A55" s="4">
        <v>2</v>
      </c>
      <c r="B55" s="4" t="s">
        <v>3</v>
      </c>
      <c r="C55" s="1" t="s">
        <v>529</v>
      </c>
      <c r="D55" s="4">
        <v>14</v>
      </c>
      <c r="E55" s="1">
        <v>9</v>
      </c>
      <c r="F55" s="1">
        <v>5</v>
      </c>
      <c r="G55" s="1">
        <v>0</v>
      </c>
      <c r="H55" s="2">
        <f t="shared" si="13"/>
        <v>0.6428571428571429</v>
      </c>
      <c r="I55" s="1">
        <v>1772</v>
      </c>
      <c r="J55" s="1">
        <v>1659</v>
      </c>
      <c r="K55" s="5">
        <f t="shared" si="14"/>
        <v>126.57142857142857</v>
      </c>
      <c r="L55" s="5">
        <f t="shared" si="15"/>
        <v>118.5</v>
      </c>
      <c r="M55" s="4">
        <v>2020</v>
      </c>
    </row>
    <row r="56" spans="1:13" ht="14.25" customHeight="1" x14ac:dyDescent="0.25">
      <c r="A56" s="4">
        <v>3</v>
      </c>
      <c r="B56" s="4" t="s">
        <v>244</v>
      </c>
      <c r="C56" s="4" t="s">
        <v>510</v>
      </c>
      <c r="D56" s="4">
        <v>14</v>
      </c>
      <c r="E56" s="1">
        <v>8</v>
      </c>
      <c r="F56" s="1">
        <v>6</v>
      </c>
      <c r="G56" s="1">
        <v>0</v>
      </c>
      <c r="H56" s="2">
        <f t="shared" si="13"/>
        <v>0.5714285714285714</v>
      </c>
      <c r="I56" s="1">
        <v>1746</v>
      </c>
      <c r="J56" s="1">
        <v>1621</v>
      </c>
      <c r="K56" s="5">
        <f t="shared" si="14"/>
        <v>124.71428571428571</v>
      </c>
      <c r="L56" s="5">
        <f t="shared" si="15"/>
        <v>115.78571428571429</v>
      </c>
      <c r="M56" s="4">
        <v>2020</v>
      </c>
    </row>
    <row r="57" spans="1:13" ht="14.25" customHeight="1" x14ac:dyDescent="0.25">
      <c r="A57" s="4">
        <v>4</v>
      </c>
      <c r="B57" s="4" t="s">
        <v>245</v>
      </c>
      <c r="C57" s="4" t="s">
        <v>509</v>
      </c>
      <c r="D57" s="4">
        <v>14</v>
      </c>
      <c r="E57" s="1">
        <v>8</v>
      </c>
      <c r="F57" s="1">
        <v>6</v>
      </c>
      <c r="G57" s="1">
        <v>0</v>
      </c>
      <c r="H57" s="2">
        <f t="shared" si="13"/>
        <v>0.5714285714285714</v>
      </c>
      <c r="I57" s="1">
        <v>1688</v>
      </c>
      <c r="J57" s="1">
        <v>1671</v>
      </c>
      <c r="K57" s="5">
        <f t="shared" si="14"/>
        <v>120.57142857142857</v>
      </c>
      <c r="L57" s="5">
        <f t="shared" si="15"/>
        <v>119.35714285714286</v>
      </c>
      <c r="M57" s="4">
        <v>2020</v>
      </c>
    </row>
    <row r="58" spans="1:13" ht="14.25" customHeight="1" x14ac:dyDescent="0.25">
      <c r="A58" s="4">
        <v>5</v>
      </c>
      <c r="B58" s="4" t="s">
        <v>243</v>
      </c>
      <c r="C58" s="4" t="s">
        <v>513</v>
      </c>
      <c r="D58" s="4">
        <v>14</v>
      </c>
      <c r="E58" s="1">
        <v>7</v>
      </c>
      <c r="F58" s="1">
        <v>7</v>
      </c>
      <c r="G58" s="1">
        <v>0</v>
      </c>
      <c r="H58" s="2">
        <f t="shared" si="13"/>
        <v>0.5</v>
      </c>
      <c r="I58" s="1">
        <v>1730</v>
      </c>
      <c r="J58" s="1">
        <v>1606</v>
      </c>
      <c r="K58" s="5">
        <f t="shared" si="14"/>
        <v>123.57142857142857</v>
      </c>
      <c r="L58" s="5">
        <f t="shared" si="15"/>
        <v>114.71428571428571</v>
      </c>
      <c r="M58" s="4">
        <v>2020</v>
      </c>
    </row>
    <row r="59" spans="1:13" ht="14.25" customHeight="1" x14ac:dyDescent="0.25">
      <c r="A59" s="4">
        <v>6</v>
      </c>
      <c r="B59" s="4" t="s">
        <v>239</v>
      </c>
      <c r="C59" s="4" t="s">
        <v>512</v>
      </c>
      <c r="D59" s="4">
        <v>14</v>
      </c>
      <c r="E59" s="1">
        <v>7</v>
      </c>
      <c r="F59" s="1">
        <v>7</v>
      </c>
      <c r="G59" s="1">
        <v>0</v>
      </c>
      <c r="H59" s="2">
        <f t="shared" si="13"/>
        <v>0.5</v>
      </c>
      <c r="I59" s="1">
        <v>1723</v>
      </c>
      <c r="J59" s="6">
        <v>1705.22</v>
      </c>
      <c r="K59" s="5">
        <f t="shared" si="14"/>
        <v>123.07142857142857</v>
      </c>
      <c r="L59" s="5">
        <f t="shared" si="15"/>
        <v>121.80142857142857</v>
      </c>
      <c r="M59" s="4">
        <v>2020</v>
      </c>
    </row>
    <row r="60" spans="1:13" ht="14.25" customHeight="1" x14ac:dyDescent="0.25">
      <c r="A60" s="4">
        <v>7</v>
      </c>
      <c r="B60" s="4" t="s">
        <v>236</v>
      </c>
      <c r="C60" s="4" t="s">
        <v>24</v>
      </c>
      <c r="D60" s="4">
        <v>14</v>
      </c>
      <c r="E60" s="1">
        <v>6</v>
      </c>
      <c r="F60" s="1">
        <v>8</v>
      </c>
      <c r="G60" s="1">
        <v>0</v>
      </c>
      <c r="H60" s="2">
        <f t="shared" si="13"/>
        <v>0.42857142857142855</v>
      </c>
      <c r="I60" s="1">
        <v>1630</v>
      </c>
      <c r="J60" s="1">
        <v>1697</v>
      </c>
      <c r="K60" s="5">
        <f t="shared" si="14"/>
        <v>116.42857142857143</v>
      </c>
      <c r="L60" s="5">
        <f t="shared" si="15"/>
        <v>121.21428571428571</v>
      </c>
      <c r="M60" s="4">
        <v>2020</v>
      </c>
    </row>
    <row r="61" spans="1:13" ht="14.25" customHeight="1" x14ac:dyDescent="0.25">
      <c r="A61" s="4">
        <v>8</v>
      </c>
      <c r="B61" s="4" t="s">
        <v>522</v>
      </c>
      <c r="C61" s="1" t="s">
        <v>530</v>
      </c>
      <c r="D61" s="4">
        <v>14</v>
      </c>
      <c r="E61" s="1">
        <v>6</v>
      </c>
      <c r="F61" s="1">
        <v>8</v>
      </c>
      <c r="G61" s="1">
        <v>0</v>
      </c>
      <c r="H61" s="2">
        <f t="shared" si="13"/>
        <v>0.42857142857142855</v>
      </c>
      <c r="I61" s="1">
        <v>1417</v>
      </c>
      <c r="J61" s="1">
        <v>1584</v>
      </c>
      <c r="K61" s="5">
        <f t="shared" si="14"/>
        <v>101.21428571428571</v>
      </c>
      <c r="L61" s="5">
        <f t="shared" si="15"/>
        <v>113.14285714285714</v>
      </c>
      <c r="M61" s="4">
        <v>2020</v>
      </c>
    </row>
    <row r="62" spans="1:13" ht="14.25" customHeight="1" x14ac:dyDescent="0.25">
      <c r="A62" s="4">
        <v>9</v>
      </c>
      <c r="B62" s="4" t="s">
        <v>235</v>
      </c>
      <c r="C62" s="4" t="s">
        <v>511</v>
      </c>
      <c r="D62" s="4">
        <v>14</v>
      </c>
      <c r="E62" s="1">
        <v>5</v>
      </c>
      <c r="F62" s="1">
        <v>9</v>
      </c>
      <c r="G62" s="1">
        <v>0</v>
      </c>
      <c r="H62" s="2">
        <f t="shared" si="13"/>
        <v>0.35714285714285715</v>
      </c>
      <c r="I62" s="1">
        <v>1694</v>
      </c>
      <c r="J62" s="1">
        <v>1696</v>
      </c>
      <c r="K62" s="5">
        <f t="shared" si="14"/>
        <v>121</v>
      </c>
      <c r="L62" s="5">
        <f t="shared" si="15"/>
        <v>121.14285714285714</v>
      </c>
      <c r="M62" s="4">
        <v>2020</v>
      </c>
    </row>
    <row r="63" spans="1:13" ht="14.25" customHeight="1" x14ac:dyDescent="0.25">
      <c r="A63" s="4">
        <v>10</v>
      </c>
      <c r="B63" s="4" t="s">
        <v>241</v>
      </c>
      <c r="C63" s="4" t="s">
        <v>520</v>
      </c>
      <c r="D63" s="4">
        <v>14</v>
      </c>
      <c r="E63" s="1">
        <v>4</v>
      </c>
      <c r="F63" s="1">
        <v>10</v>
      </c>
      <c r="G63" s="1">
        <v>0</v>
      </c>
      <c r="H63" s="2">
        <f t="shared" si="13"/>
        <v>0.2857142857142857</v>
      </c>
      <c r="I63" s="1">
        <v>1442</v>
      </c>
      <c r="J63" s="1">
        <v>1677</v>
      </c>
      <c r="K63" s="5">
        <f t="shared" si="14"/>
        <v>103</v>
      </c>
      <c r="L63" s="5">
        <f t="shared" si="15"/>
        <v>119.78571428571429</v>
      </c>
      <c r="M63" s="4">
        <v>2020</v>
      </c>
    </row>
    <row r="64" spans="1:13" ht="14.25" customHeight="1" x14ac:dyDescent="0.25">
      <c r="A64" s="4">
        <v>1</v>
      </c>
      <c r="B64" s="32" t="s">
        <v>37</v>
      </c>
      <c r="C64" s="4" t="s">
        <v>509</v>
      </c>
      <c r="D64" s="4">
        <v>14</v>
      </c>
      <c r="E64" s="1">
        <v>12</v>
      </c>
      <c r="F64" s="1">
        <v>2</v>
      </c>
      <c r="G64" s="1">
        <v>0</v>
      </c>
      <c r="H64" s="15">
        <v>0.85699999999999998</v>
      </c>
      <c r="I64" s="5">
        <v>1878.54</v>
      </c>
      <c r="J64" s="5">
        <v>1461.72</v>
      </c>
      <c r="K64" s="5">
        <f t="shared" si="14"/>
        <v>134.18142857142857</v>
      </c>
      <c r="L64" s="5">
        <f t="shared" si="15"/>
        <v>104.40857142857143</v>
      </c>
      <c r="M64" s="4">
        <v>2019</v>
      </c>
    </row>
    <row r="65" spans="1:13" ht="14.25" customHeight="1" x14ac:dyDescent="0.25">
      <c r="A65" s="4">
        <v>2</v>
      </c>
      <c r="B65" s="32" t="s">
        <v>17</v>
      </c>
      <c r="C65" s="4" t="s">
        <v>508</v>
      </c>
      <c r="D65" s="4">
        <v>14</v>
      </c>
      <c r="E65" s="1">
        <v>9</v>
      </c>
      <c r="F65" s="1">
        <v>5</v>
      </c>
      <c r="G65" s="1">
        <v>0</v>
      </c>
      <c r="H65" s="15">
        <v>0.64300000000000002</v>
      </c>
      <c r="I65" s="5">
        <v>1550.16</v>
      </c>
      <c r="J65" s="5">
        <v>1378.7</v>
      </c>
      <c r="K65" s="5">
        <f t="shared" si="14"/>
        <v>110.72571428571429</v>
      </c>
      <c r="L65" s="5">
        <f t="shared" si="15"/>
        <v>98.478571428571428</v>
      </c>
      <c r="M65" s="4">
        <v>2019</v>
      </c>
    </row>
    <row r="66" spans="1:13" ht="14.25" customHeight="1" x14ac:dyDescent="0.25">
      <c r="A66" s="4">
        <v>3</v>
      </c>
      <c r="B66" s="32" t="s">
        <v>534</v>
      </c>
      <c r="C66" s="4" t="s">
        <v>520</v>
      </c>
      <c r="D66" s="4">
        <v>14</v>
      </c>
      <c r="E66" s="1">
        <v>8</v>
      </c>
      <c r="F66" s="1">
        <v>6</v>
      </c>
      <c r="G66" s="1">
        <v>0</v>
      </c>
      <c r="H66" s="15">
        <v>0.57099999999999995</v>
      </c>
      <c r="I66" s="5">
        <v>1441.76</v>
      </c>
      <c r="J66" s="5">
        <v>1418.74</v>
      </c>
      <c r="K66" s="5">
        <f t="shared" si="14"/>
        <v>102.98285714285714</v>
      </c>
      <c r="L66" s="5">
        <f t="shared" si="15"/>
        <v>101.33857142857143</v>
      </c>
      <c r="M66" s="4">
        <v>2019</v>
      </c>
    </row>
    <row r="67" spans="1:13" ht="14.25" customHeight="1" x14ac:dyDescent="0.25">
      <c r="A67" s="4">
        <v>4</v>
      </c>
      <c r="B67" s="32" t="s">
        <v>47</v>
      </c>
      <c r="C67" s="4" t="s">
        <v>510</v>
      </c>
      <c r="D67" s="4">
        <v>14</v>
      </c>
      <c r="E67" s="1">
        <v>8</v>
      </c>
      <c r="F67" s="1">
        <v>6</v>
      </c>
      <c r="G67" s="1">
        <v>0</v>
      </c>
      <c r="H67" s="15">
        <v>0.57099999999999995</v>
      </c>
      <c r="I67" s="5">
        <v>1426.16</v>
      </c>
      <c r="J67" s="5">
        <v>1392.16</v>
      </c>
      <c r="K67" s="5">
        <f t="shared" si="14"/>
        <v>101.86857142857143</v>
      </c>
      <c r="L67" s="5">
        <f t="shared" si="15"/>
        <v>99.440000000000012</v>
      </c>
      <c r="M67" s="4">
        <v>2019</v>
      </c>
    </row>
    <row r="68" spans="1:13" ht="14.25" customHeight="1" x14ac:dyDescent="0.25">
      <c r="A68" s="4">
        <v>5</v>
      </c>
      <c r="B68" s="32" t="s">
        <v>40</v>
      </c>
      <c r="C68" s="4" t="s">
        <v>513</v>
      </c>
      <c r="D68" s="4">
        <v>14</v>
      </c>
      <c r="E68" s="1">
        <v>7</v>
      </c>
      <c r="F68" s="1">
        <v>7</v>
      </c>
      <c r="G68" s="1">
        <v>0</v>
      </c>
      <c r="H68" s="15">
        <v>0.5</v>
      </c>
      <c r="I68" s="5">
        <v>1585.72</v>
      </c>
      <c r="J68" s="5">
        <v>1562.1</v>
      </c>
      <c r="K68" s="5">
        <f t="shared" si="14"/>
        <v>113.26571428571428</v>
      </c>
      <c r="L68" s="5">
        <f t="shared" si="15"/>
        <v>111.57857142857142</v>
      </c>
      <c r="M68" s="4">
        <v>2019</v>
      </c>
    </row>
    <row r="69" spans="1:13" ht="14.25" customHeight="1" x14ac:dyDescent="0.25">
      <c r="A69" s="4">
        <v>6</v>
      </c>
      <c r="B69" s="32" t="s">
        <v>53</v>
      </c>
      <c r="C69" s="4" t="s">
        <v>523</v>
      </c>
      <c r="D69" s="4">
        <v>14</v>
      </c>
      <c r="E69" s="1">
        <v>7</v>
      </c>
      <c r="F69" s="1">
        <v>7</v>
      </c>
      <c r="G69" s="1">
        <v>0</v>
      </c>
      <c r="H69" s="15">
        <v>0.5</v>
      </c>
      <c r="I69" s="5">
        <v>1472.12</v>
      </c>
      <c r="J69" s="5">
        <v>1519.4</v>
      </c>
      <c r="K69" s="5">
        <f t="shared" si="14"/>
        <v>105.15142857142857</v>
      </c>
      <c r="L69" s="5">
        <f t="shared" si="15"/>
        <v>108.52857142857144</v>
      </c>
      <c r="M69" s="4">
        <v>2019</v>
      </c>
    </row>
    <row r="70" spans="1:13" ht="14.25" customHeight="1" x14ac:dyDescent="0.25">
      <c r="A70" s="4">
        <v>7</v>
      </c>
      <c r="B70" s="32" t="s">
        <v>45</v>
      </c>
      <c r="C70" s="1" t="s">
        <v>529</v>
      </c>
      <c r="D70" s="4">
        <v>14</v>
      </c>
      <c r="E70" s="1">
        <v>7</v>
      </c>
      <c r="F70" s="1">
        <v>7</v>
      </c>
      <c r="G70" s="1">
        <v>0</v>
      </c>
      <c r="H70" s="15">
        <v>0.5</v>
      </c>
      <c r="I70" s="5">
        <v>1377.28</v>
      </c>
      <c r="J70" s="5">
        <v>1508.8</v>
      </c>
      <c r="K70" s="5">
        <f t="shared" si="14"/>
        <v>98.377142857142857</v>
      </c>
      <c r="L70" s="5">
        <f t="shared" si="15"/>
        <v>107.77142857142857</v>
      </c>
      <c r="M70" s="4">
        <v>2019</v>
      </c>
    </row>
    <row r="71" spans="1:13" ht="14.25" customHeight="1" x14ac:dyDescent="0.25">
      <c r="A71" s="4">
        <v>8</v>
      </c>
      <c r="B71" s="32" t="s">
        <v>42</v>
      </c>
      <c r="C71" s="4" t="s">
        <v>511</v>
      </c>
      <c r="D71" s="4">
        <v>14</v>
      </c>
      <c r="E71" s="1">
        <v>5</v>
      </c>
      <c r="F71" s="1">
        <v>9</v>
      </c>
      <c r="G71" s="1">
        <v>0</v>
      </c>
      <c r="H71" s="15">
        <v>0.35699999999999998</v>
      </c>
      <c r="I71" s="5">
        <v>1406.84</v>
      </c>
      <c r="J71" s="5">
        <v>1463.82</v>
      </c>
      <c r="K71" s="5">
        <f t="shared" si="14"/>
        <v>100.48857142857142</v>
      </c>
      <c r="L71" s="5">
        <f t="shared" si="15"/>
        <v>104.55857142857143</v>
      </c>
      <c r="M71" s="4">
        <v>2019</v>
      </c>
    </row>
    <row r="72" spans="1:13" ht="14.25" customHeight="1" x14ac:dyDescent="0.25">
      <c r="A72" s="4">
        <v>9</v>
      </c>
      <c r="B72" s="32" t="s">
        <v>38</v>
      </c>
      <c r="C72" s="4" t="s">
        <v>512</v>
      </c>
      <c r="D72" s="4">
        <v>14</v>
      </c>
      <c r="E72" s="1">
        <v>4</v>
      </c>
      <c r="F72" s="1">
        <v>10</v>
      </c>
      <c r="G72" s="1">
        <v>0</v>
      </c>
      <c r="H72" s="15">
        <v>0.28599999999999998</v>
      </c>
      <c r="I72" s="5">
        <v>1455.16</v>
      </c>
      <c r="J72" s="5">
        <v>1680.36</v>
      </c>
      <c r="K72" s="5">
        <f t="shared" si="14"/>
        <v>103.94000000000001</v>
      </c>
      <c r="L72" s="5">
        <f t="shared" si="15"/>
        <v>120.02571428571427</v>
      </c>
      <c r="M72" s="4">
        <v>2019</v>
      </c>
    </row>
    <row r="73" spans="1:13" ht="14.25" customHeight="1" x14ac:dyDescent="0.25">
      <c r="A73" s="4">
        <v>10</v>
      </c>
      <c r="B73" s="32" t="s">
        <v>32</v>
      </c>
      <c r="C73" s="4" t="s">
        <v>24</v>
      </c>
      <c r="D73" s="4">
        <v>14</v>
      </c>
      <c r="E73" s="1">
        <v>3</v>
      </c>
      <c r="F73" s="1">
        <v>11</v>
      </c>
      <c r="G73" s="1">
        <v>0</v>
      </c>
      <c r="H73" s="15">
        <v>0.214</v>
      </c>
      <c r="I73" s="5">
        <v>1398.52</v>
      </c>
      <c r="J73" s="5">
        <v>1606.46</v>
      </c>
      <c r="K73" s="5">
        <f t="shared" si="14"/>
        <v>99.894285714285715</v>
      </c>
      <c r="L73" s="5">
        <f t="shared" si="15"/>
        <v>114.74714285714286</v>
      </c>
      <c r="M73" s="4">
        <v>2019</v>
      </c>
    </row>
    <row r="74" spans="1:13" ht="14.25" customHeight="1" x14ac:dyDescent="0.25">
      <c r="A74" s="4">
        <v>1</v>
      </c>
      <c r="B74" s="32" t="s">
        <v>52</v>
      </c>
      <c r="C74" s="7" t="s">
        <v>512</v>
      </c>
      <c r="D74" s="4">
        <v>14</v>
      </c>
      <c r="E74" s="1">
        <v>11</v>
      </c>
      <c r="F74" s="1">
        <v>2</v>
      </c>
      <c r="G74" s="1">
        <v>1</v>
      </c>
      <c r="H74" s="2">
        <f t="shared" ref="H74:H93" si="16">E74/D74</f>
        <v>0.7857142857142857</v>
      </c>
      <c r="I74" s="5">
        <v>1683.54</v>
      </c>
      <c r="J74" s="5">
        <v>1382.6</v>
      </c>
      <c r="K74" s="5">
        <f t="shared" si="14"/>
        <v>120.25285714285714</v>
      </c>
      <c r="L74" s="5">
        <f t="shared" si="15"/>
        <v>98.757142857142853</v>
      </c>
      <c r="M74" s="4">
        <v>2018</v>
      </c>
    </row>
    <row r="75" spans="1:13" ht="14.25" customHeight="1" x14ac:dyDescent="0.25">
      <c r="A75" s="4">
        <v>2</v>
      </c>
      <c r="B75" s="4" t="s">
        <v>237</v>
      </c>
      <c r="C75" s="7" t="s">
        <v>510</v>
      </c>
      <c r="D75" s="4">
        <v>14</v>
      </c>
      <c r="E75" s="1">
        <v>11</v>
      </c>
      <c r="F75" s="1">
        <v>3</v>
      </c>
      <c r="G75" s="1">
        <v>0</v>
      </c>
      <c r="H75" s="2">
        <f t="shared" si="16"/>
        <v>0.7857142857142857</v>
      </c>
      <c r="I75" s="5">
        <v>1588.54</v>
      </c>
      <c r="J75" s="5">
        <v>1312.58</v>
      </c>
      <c r="K75" s="5">
        <f t="shared" si="14"/>
        <v>113.46714285714286</v>
      </c>
      <c r="L75" s="5">
        <f t="shared" si="15"/>
        <v>93.755714285714276</v>
      </c>
      <c r="M75" s="4">
        <v>2018</v>
      </c>
    </row>
    <row r="76" spans="1:13" ht="14.25" customHeight="1" x14ac:dyDescent="0.25">
      <c r="A76" s="4">
        <v>3</v>
      </c>
      <c r="B76" s="32" t="s">
        <v>42</v>
      </c>
      <c r="C76" s="7" t="s">
        <v>511</v>
      </c>
      <c r="D76" s="4">
        <v>14</v>
      </c>
      <c r="E76" s="1">
        <v>11</v>
      </c>
      <c r="F76" s="1">
        <v>3</v>
      </c>
      <c r="G76" s="1">
        <v>0</v>
      </c>
      <c r="H76" s="2">
        <f t="shared" si="16"/>
        <v>0.7857142857142857</v>
      </c>
      <c r="I76" s="5">
        <v>1382.08</v>
      </c>
      <c r="J76" s="5">
        <v>1186.5</v>
      </c>
      <c r="K76" s="5">
        <f t="shared" si="14"/>
        <v>98.72</v>
      </c>
      <c r="L76" s="5">
        <f t="shared" si="15"/>
        <v>84.75</v>
      </c>
      <c r="M76" s="4">
        <v>2018</v>
      </c>
    </row>
    <row r="77" spans="1:13" ht="14.25" customHeight="1" x14ac:dyDescent="0.25">
      <c r="A77" s="4">
        <v>4</v>
      </c>
      <c r="B77" s="32" t="s">
        <v>40</v>
      </c>
      <c r="C77" s="7" t="s">
        <v>513</v>
      </c>
      <c r="D77" s="4">
        <v>14</v>
      </c>
      <c r="E77" s="1">
        <v>7</v>
      </c>
      <c r="F77" s="1">
        <v>7</v>
      </c>
      <c r="G77" s="1">
        <v>0</v>
      </c>
      <c r="H77" s="2">
        <f t="shared" si="16"/>
        <v>0.5</v>
      </c>
      <c r="I77" s="5">
        <v>1434.72</v>
      </c>
      <c r="J77" s="5">
        <v>1451.02</v>
      </c>
      <c r="K77" s="5">
        <f t="shared" si="14"/>
        <v>102.48</v>
      </c>
      <c r="L77" s="5">
        <f t="shared" si="15"/>
        <v>103.64428571428572</v>
      </c>
      <c r="M77" s="4">
        <v>2018</v>
      </c>
    </row>
    <row r="78" spans="1:13" ht="14.25" customHeight="1" x14ac:dyDescent="0.25">
      <c r="A78" s="4">
        <v>5</v>
      </c>
      <c r="B78" s="32" t="s">
        <v>37</v>
      </c>
      <c r="C78" s="7" t="s">
        <v>509</v>
      </c>
      <c r="D78" s="4">
        <v>14</v>
      </c>
      <c r="E78" s="1">
        <v>7</v>
      </c>
      <c r="F78" s="1">
        <v>7</v>
      </c>
      <c r="G78" s="1">
        <v>0</v>
      </c>
      <c r="H78" s="2">
        <f t="shared" si="16"/>
        <v>0.5</v>
      </c>
      <c r="I78" s="5">
        <v>1432.8</v>
      </c>
      <c r="J78" s="5">
        <v>1469.74</v>
      </c>
      <c r="K78" s="5">
        <f t="shared" si="14"/>
        <v>102.34285714285714</v>
      </c>
      <c r="L78" s="5">
        <f t="shared" si="15"/>
        <v>104.98142857142857</v>
      </c>
      <c r="M78" s="4">
        <v>2018</v>
      </c>
    </row>
    <row r="79" spans="1:13" ht="14.25" customHeight="1" x14ac:dyDescent="0.25">
      <c r="A79" s="4">
        <v>6</v>
      </c>
      <c r="B79" s="32" t="s">
        <v>45</v>
      </c>
      <c r="C79" s="1" t="s">
        <v>529</v>
      </c>
      <c r="D79" s="4">
        <v>14</v>
      </c>
      <c r="E79" s="1">
        <v>6</v>
      </c>
      <c r="F79" s="1">
        <v>8</v>
      </c>
      <c r="G79" s="1">
        <v>0</v>
      </c>
      <c r="H79" s="2">
        <f t="shared" si="16"/>
        <v>0.42857142857142855</v>
      </c>
      <c r="I79" s="5">
        <v>1409.88</v>
      </c>
      <c r="J79" s="5">
        <v>1519.16</v>
      </c>
      <c r="K79" s="5">
        <f t="shared" si="14"/>
        <v>100.70571428571429</v>
      </c>
      <c r="L79" s="5">
        <f t="shared" si="15"/>
        <v>108.51142857142858</v>
      </c>
      <c r="M79" s="4">
        <v>2018</v>
      </c>
    </row>
    <row r="80" spans="1:13" ht="14.25" customHeight="1" x14ac:dyDescent="0.25">
      <c r="A80" s="4">
        <v>7</v>
      </c>
      <c r="B80" s="32" t="s">
        <v>56</v>
      </c>
      <c r="C80" s="7" t="s">
        <v>508</v>
      </c>
      <c r="D80" s="4">
        <v>14</v>
      </c>
      <c r="E80" s="1">
        <v>4</v>
      </c>
      <c r="F80" s="1">
        <v>9</v>
      </c>
      <c r="G80" s="1">
        <v>1</v>
      </c>
      <c r="H80" s="2">
        <f t="shared" si="16"/>
        <v>0.2857142857142857</v>
      </c>
      <c r="I80" s="5">
        <v>1394.8</v>
      </c>
      <c r="J80" s="5">
        <v>1469.18</v>
      </c>
      <c r="K80" s="5">
        <f t="shared" si="14"/>
        <v>99.628571428571419</v>
      </c>
      <c r="L80" s="5">
        <f t="shared" si="15"/>
        <v>104.94142857142857</v>
      </c>
      <c r="M80" s="4">
        <v>2018</v>
      </c>
    </row>
    <row r="81" spans="1:13" ht="14.25" customHeight="1" x14ac:dyDescent="0.25">
      <c r="A81" s="4">
        <v>8</v>
      </c>
      <c r="B81" s="32" t="s">
        <v>86</v>
      </c>
      <c r="C81" s="7" t="s">
        <v>523</v>
      </c>
      <c r="D81" s="4">
        <v>14</v>
      </c>
      <c r="E81" s="1">
        <v>4</v>
      </c>
      <c r="F81" s="1">
        <v>10</v>
      </c>
      <c r="G81" s="1">
        <v>0</v>
      </c>
      <c r="H81" s="2">
        <f t="shared" si="16"/>
        <v>0.2857142857142857</v>
      </c>
      <c r="I81" s="5">
        <v>1359.12</v>
      </c>
      <c r="J81" s="5">
        <v>1594.26</v>
      </c>
      <c r="K81" s="5">
        <f t="shared" si="14"/>
        <v>97.08</v>
      </c>
      <c r="L81" s="5">
        <f t="shared" si="15"/>
        <v>113.87571428571428</v>
      </c>
      <c r="M81" s="4">
        <v>2018</v>
      </c>
    </row>
    <row r="82" spans="1:13" ht="14.25" customHeight="1" x14ac:dyDescent="0.25">
      <c r="A82" s="4">
        <v>9</v>
      </c>
      <c r="B82" s="32" t="s">
        <v>56</v>
      </c>
      <c r="C82" s="7" t="s">
        <v>520</v>
      </c>
      <c r="D82" s="4">
        <v>14</v>
      </c>
      <c r="E82" s="1">
        <v>4</v>
      </c>
      <c r="F82" s="1">
        <v>10</v>
      </c>
      <c r="G82" s="1">
        <v>0</v>
      </c>
      <c r="H82" s="2">
        <f t="shared" si="16"/>
        <v>0.2857142857142857</v>
      </c>
      <c r="I82" s="5">
        <v>1247.44</v>
      </c>
      <c r="J82" s="5">
        <v>1346.86</v>
      </c>
      <c r="K82" s="5">
        <f t="shared" si="14"/>
        <v>89.102857142857147</v>
      </c>
      <c r="L82" s="5">
        <f t="shared" si="15"/>
        <v>96.204285714285703</v>
      </c>
      <c r="M82" s="4">
        <v>2018</v>
      </c>
    </row>
    <row r="83" spans="1:13" ht="14.25" customHeight="1" x14ac:dyDescent="0.25">
      <c r="A83" s="4">
        <v>10</v>
      </c>
      <c r="B83" s="32" t="s">
        <v>32</v>
      </c>
      <c r="C83" s="7" t="s">
        <v>24</v>
      </c>
      <c r="D83" s="4">
        <v>14</v>
      </c>
      <c r="E83" s="1">
        <v>4</v>
      </c>
      <c r="F83" s="1">
        <v>10</v>
      </c>
      <c r="G83" s="1">
        <v>0</v>
      </c>
      <c r="H83" s="2">
        <f t="shared" si="16"/>
        <v>0.2857142857142857</v>
      </c>
      <c r="I83" s="5">
        <v>1223.6600000000001</v>
      </c>
      <c r="J83" s="5">
        <v>1424.68</v>
      </c>
      <c r="K83" s="5">
        <f t="shared" si="14"/>
        <v>87.40428571428572</v>
      </c>
      <c r="L83" s="5">
        <f t="shared" si="15"/>
        <v>101.76285714285714</v>
      </c>
      <c r="M83" s="4">
        <v>2018</v>
      </c>
    </row>
    <row r="84" spans="1:13" ht="14.25" customHeight="1" x14ac:dyDescent="0.25">
      <c r="A84" s="4">
        <v>1</v>
      </c>
      <c r="B84" s="8" t="s">
        <v>58</v>
      </c>
      <c r="C84" s="7" t="s">
        <v>523</v>
      </c>
      <c r="D84" s="4">
        <v>14</v>
      </c>
      <c r="E84" s="1">
        <v>12</v>
      </c>
      <c r="F84" s="1">
        <v>3</v>
      </c>
      <c r="G84" s="1">
        <v>0</v>
      </c>
      <c r="H84" s="2">
        <f t="shared" si="16"/>
        <v>0.8571428571428571</v>
      </c>
      <c r="I84" s="5">
        <v>1564.02</v>
      </c>
      <c r="J84" s="5">
        <v>1343.02</v>
      </c>
      <c r="K84" s="5">
        <f t="shared" si="14"/>
        <v>111.71571428571428</v>
      </c>
      <c r="L84" s="5">
        <f t="shared" si="15"/>
        <v>95.929999999999993</v>
      </c>
      <c r="M84" s="4">
        <v>2017</v>
      </c>
    </row>
    <row r="85" spans="1:13" ht="14.25" customHeight="1" x14ac:dyDescent="0.25">
      <c r="A85" s="4">
        <v>2</v>
      </c>
      <c r="B85" s="32" t="s">
        <v>32</v>
      </c>
      <c r="C85" s="7" t="s">
        <v>24</v>
      </c>
      <c r="D85" s="4">
        <v>14</v>
      </c>
      <c r="E85" s="1">
        <v>9</v>
      </c>
      <c r="F85" s="1">
        <v>6</v>
      </c>
      <c r="G85" s="1">
        <v>0</v>
      </c>
      <c r="H85" s="2">
        <f t="shared" si="16"/>
        <v>0.6428571428571429</v>
      </c>
      <c r="I85" s="5">
        <v>1218.6400000000001</v>
      </c>
      <c r="J85" s="5">
        <v>1308.8</v>
      </c>
      <c r="K85" s="5">
        <f t="shared" si="14"/>
        <v>87.045714285714297</v>
      </c>
      <c r="L85" s="5">
        <f t="shared" si="15"/>
        <v>93.48571428571428</v>
      </c>
      <c r="M85" s="4">
        <v>2017</v>
      </c>
    </row>
    <row r="86" spans="1:13" ht="14.25" customHeight="1" x14ac:dyDescent="0.25">
      <c r="A86" s="4">
        <v>3</v>
      </c>
      <c r="B86" s="32" t="s">
        <v>40</v>
      </c>
      <c r="C86" s="7" t="s">
        <v>513</v>
      </c>
      <c r="D86" s="4">
        <v>14</v>
      </c>
      <c r="E86" s="1">
        <v>8</v>
      </c>
      <c r="F86" s="1">
        <v>7</v>
      </c>
      <c r="G86" s="1">
        <v>0</v>
      </c>
      <c r="H86" s="2">
        <f t="shared" si="16"/>
        <v>0.5714285714285714</v>
      </c>
      <c r="I86" s="5">
        <v>1360.18</v>
      </c>
      <c r="J86" s="5">
        <v>1303.5999999999999</v>
      </c>
      <c r="K86" s="5">
        <f t="shared" si="14"/>
        <v>97.155714285714296</v>
      </c>
      <c r="L86" s="5">
        <f t="shared" si="15"/>
        <v>93.114285714285714</v>
      </c>
      <c r="M86" s="4">
        <v>2017</v>
      </c>
    </row>
    <row r="87" spans="1:13" ht="14.25" customHeight="1" x14ac:dyDescent="0.25">
      <c r="A87" s="4">
        <v>4</v>
      </c>
      <c r="B87" s="32" t="s">
        <v>33</v>
      </c>
      <c r="C87" s="7" t="s">
        <v>520</v>
      </c>
      <c r="D87" s="4">
        <v>14</v>
      </c>
      <c r="E87" s="1">
        <v>8</v>
      </c>
      <c r="F87" s="1">
        <v>7</v>
      </c>
      <c r="G87" s="1">
        <v>0</v>
      </c>
      <c r="H87" s="2">
        <f t="shared" si="16"/>
        <v>0.5714285714285714</v>
      </c>
      <c r="I87" s="5">
        <v>1314.14</v>
      </c>
      <c r="J87" s="5">
        <v>1319.44</v>
      </c>
      <c r="K87" s="5">
        <f t="shared" si="14"/>
        <v>93.867142857142866</v>
      </c>
      <c r="L87" s="5">
        <f t="shared" si="15"/>
        <v>94.245714285714286</v>
      </c>
      <c r="M87" s="4">
        <v>2017</v>
      </c>
    </row>
    <row r="88" spans="1:13" ht="14.25" customHeight="1" x14ac:dyDescent="0.25">
      <c r="A88" s="4">
        <v>5</v>
      </c>
      <c r="B88" s="32" t="s">
        <v>56</v>
      </c>
      <c r="C88" s="7" t="s">
        <v>508</v>
      </c>
      <c r="D88" s="4">
        <v>14</v>
      </c>
      <c r="E88" s="1">
        <v>7</v>
      </c>
      <c r="F88" s="1">
        <v>8</v>
      </c>
      <c r="G88" s="1">
        <v>0</v>
      </c>
      <c r="H88" s="2">
        <f t="shared" si="16"/>
        <v>0.5</v>
      </c>
      <c r="I88" s="5">
        <v>1284.26</v>
      </c>
      <c r="J88" s="5">
        <v>1262.22</v>
      </c>
      <c r="K88" s="5">
        <f t="shared" si="14"/>
        <v>91.732857142857142</v>
      </c>
      <c r="L88" s="5">
        <f t="shared" si="15"/>
        <v>90.158571428571435</v>
      </c>
      <c r="M88" s="4">
        <v>2017</v>
      </c>
    </row>
    <row r="89" spans="1:13" ht="14.25" customHeight="1" x14ac:dyDescent="0.25">
      <c r="A89" s="4">
        <v>6</v>
      </c>
      <c r="B89" s="4" t="s">
        <v>238</v>
      </c>
      <c r="C89" s="1" t="s">
        <v>529</v>
      </c>
      <c r="D89" s="4">
        <v>14</v>
      </c>
      <c r="E89" s="1">
        <v>7</v>
      </c>
      <c r="F89" s="1">
        <v>8</v>
      </c>
      <c r="G89" s="1">
        <v>0</v>
      </c>
      <c r="H89" s="2">
        <f t="shared" si="16"/>
        <v>0.5</v>
      </c>
      <c r="I89" s="5">
        <v>1168</v>
      </c>
      <c r="J89" s="5">
        <v>1194.6600000000001</v>
      </c>
      <c r="K89" s="5">
        <f t="shared" si="14"/>
        <v>83.428571428571431</v>
      </c>
      <c r="L89" s="5">
        <f t="shared" si="15"/>
        <v>85.332857142857151</v>
      </c>
      <c r="M89" s="4">
        <v>2017</v>
      </c>
    </row>
    <row r="90" spans="1:13" ht="14.25" customHeight="1" x14ac:dyDescent="0.25">
      <c r="A90" s="4">
        <v>7</v>
      </c>
      <c r="B90" s="32" t="s">
        <v>43</v>
      </c>
      <c r="C90" s="7" t="s">
        <v>509</v>
      </c>
      <c r="D90" s="4">
        <v>14</v>
      </c>
      <c r="E90" s="1">
        <v>7</v>
      </c>
      <c r="F90" s="1">
        <v>8</v>
      </c>
      <c r="G90" s="1">
        <v>0</v>
      </c>
      <c r="H90" s="2">
        <f t="shared" si="16"/>
        <v>0.5</v>
      </c>
      <c r="I90" s="5">
        <v>1449.64</v>
      </c>
      <c r="J90" s="5">
        <v>1372.6</v>
      </c>
      <c r="K90" s="5">
        <f t="shared" si="14"/>
        <v>103.5457142857143</v>
      </c>
      <c r="L90" s="5">
        <f t="shared" si="15"/>
        <v>98.04285714285713</v>
      </c>
      <c r="M90" s="4">
        <v>2017</v>
      </c>
    </row>
    <row r="91" spans="1:13" ht="14.25" customHeight="1" x14ac:dyDescent="0.25">
      <c r="A91" s="4">
        <v>8</v>
      </c>
      <c r="B91" s="32" t="s">
        <v>52</v>
      </c>
      <c r="C91" s="7" t="s">
        <v>512</v>
      </c>
      <c r="D91" s="4">
        <v>14</v>
      </c>
      <c r="E91" s="1">
        <v>7</v>
      </c>
      <c r="F91" s="1">
        <v>8</v>
      </c>
      <c r="G91" s="1">
        <v>0</v>
      </c>
      <c r="H91" s="2">
        <f t="shared" si="16"/>
        <v>0.5</v>
      </c>
      <c r="I91" s="5">
        <v>1405.46</v>
      </c>
      <c r="J91" s="5">
        <v>1407.48</v>
      </c>
      <c r="K91" s="5">
        <f t="shared" si="14"/>
        <v>100.39</v>
      </c>
      <c r="L91" s="5">
        <f t="shared" si="15"/>
        <v>100.53428571428572</v>
      </c>
      <c r="M91" s="4">
        <v>2017</v>
      </c>
    </row>
    <row r="92" spans="1:13" ht="14.25" customHeight="1" x14ac:dyDescent="0.25">
      <c r="A92" s="4">
        <v>9</v>
      </c>
      <c r="B92" s="32" t="s">
        <v>42</v>
      </c>
      <c r="C92" s="7" t="s">
        <v>511</v>
      </c>
      <c r="D92" s="4">
        <v>14</v>
      </c>
      <c r="E92" s="1">
        <v>6</v>
      </c>
      <c r="F92" s="1">
        <v>9</v>
      </c>
      <c r="G92" s="1">
        <v>0</v>
      </c>
      <c r="H92" s="2">
        <f t="shared" si="16"/>
        <v>0.42857142857142855</v>
      </c>
      <c r="I92" s="5">
        <v>1252.46</v>
      </c>
      <c r="J92" s="5">
        <v>1320.04</v>
      </c>
      <c r="K92" s="5">
        <f t="shared" si="14"/>
        <v>89.46142857142857</v>
      </c>
      <c r="L92" s="5">
        <f t="shared" si="15"/>
        <v>94.28857142857143</v>
      </c>
      <c r="M92" s="4">
        <v>2017</v>
      </c>
    </row>
    <row r="93" spans="1:13" ht="14.25" customHeight="1" x14ac:dyDescent="0.25">
      <c r="A93" s="4">
        <v>10</v>
      </c>
      <c r="B93" s="32" t="s">
        <v>47</v>
      </c>
      <c r="C93" s="7" t="s">
        <v>510</v>
      </c>
      <c r="D93" s="4">
        <v>14</v>
      </c>
      <c r="E93" s="1">
        <v>4</v>
      </c>
      <c r="F93" s="1">
        <v>11</v>
      </c>
      <c r="G93" s="1">
        <v>0</v>
      </c>
      <c r="H93" s="2">
        <f t="shared" si="16"/>
        <v>0.2857142857142857</v>
      </c>
      <c r="I93" s="5">
        <v>1153.08</v>
      </c>
      <c r="J93" s="5">
        <v>1338.06</v>
      </c>
      <c r="K93" s="5">
        <f t="shared" si="14"/>
        <v>82.362857142857138</v>
      </c>
      <c r="L93" s="5">
        <f t="shared" si="15"/>
        <v>95.575714285714284</v>
      </c>
      <c r="M93" s="4">
        <v>2017</v>
      </c>
    </row>
    <row r="94" spans="1:13" ht="14.25" customHeight="1" x14ac:dyDescent="0.25">
      <c r="A94" s="4">
        <v>1</v>
      </c>
      <c r="B94" s="32" t="s">
        <v>43</v>
      </c>
      <c r="C94" s="4" t="s">
        <v>509</v>
      </c>
      <c r="D94" s="4">
        <v>15</v>
      </c>
      <c r="E94" s="1">
        <v>12</v>
      </c>
      <c r="F94" s="1">
        <v>3</v>
      </c>
      <c r="G94" s="1">
        <v>0</v>
      </c>
      <c r="H94" s="15">
        <v>0.8</v>
      </c>
      <c r="I94" s="5">
        <v>1633.5</v>
      </c>
      <c r="J94" s="5">
        <v>1284.52</v>
      </c>
      <c r="K94" s="5">
        <f t="shared" si="14"/>
        <v>108.9</v>
      </c>
      <c r="L94" s="5">
        <f t="shared" si="15"/>
        <v>85.634666666666661</v>
      </c>
      <c r="M94" s="4">
        <v>2016</v>
      </c>
    </row>
    <row r="95" spans="1:13" ht="14.25" customHeight="1" x14ac:dyDescent="0.25">
      <c r="A95" s="4">
        <v>2</v>
      </c>
      <c r="B95" s="32" t="s">
        <v>42</v>
      </c>
      <c r="C95" s="4" t="s">
        <v>511</v>
      </c>
      <c r="D95" s="4">
        <v>15</v>
      </c>
      <c r="E95" s="1">
        <v>10</v>
      </c>
      <c r="F95" s="1">
        <v>5</v>
      </c>
      <c r="G95" s="1">
        <v>0</v>
      </c>
      <c r="H95" s="15">
        <v>0.66700000000000004</v>
      </c>
      <c r="I95" s="5">
        <v>1464.58</v>
      </c>
      <c r="J95" s="5">
        <v>1374.58</v>
      </c>
      <c r="K95" s="5">
        <f t="shared" si="14"/>
        <v>97.638666666666666</v>
      </c>
      <c r="L95" s="5">
        <f t="shared" si="15"/>
        <v>91.638666666666666</v>
      </c>
      <c r="M95" s="4">
        <v>2016</v>
      </c>
    </row>
    <row r="96" spans="1:13" ht="14.25" customHeight="1" x14ac:dyDescent="0.25">
      <c r="A96" s="4">
        <v>3</v>
      </c>
      <c r="B96" s="32" t="s">
        <v>52</v>
      </c>
      <c r="C96" s="4" t="s">
        <v>512</v>
      </c>
      <c r="D96" s="4">
        <v>15</v>
      </c>
      <c r="E96" s="1">
        <v>8</v>
      </c>
      <c r="F96" s="1">
        <v>7</v>
      </c>
      <c r="G96" s="1">
        <v>0</v>
      </c>
      <c r="H96" s="15">
        <v>0.53300000000000003</v>
      </c>
      <c r="I96" s="5">
        <v>1383.8</v>
      </c>
      <c r="J96" s="5">
        <v>1332.8</v>
      </c>
      <c r="K96" s="5">
        <f t="shared" si="14"/>
        <v>92.25333333333333</v>
      </c>
      <c r="L96" s="5">
        <f t="shared" si="15"/>
        <v>88.853333333333325</v>
      </c>
      <c r="M96" s="4">
        <v>2016</v>
      </c>
    </row>
    <row r="97" spans="1:13" ht="14.25" customHeight="1" x14ac:dyDescent="0.25">
      <c r="A97" s="4">
        <v>4</v>
      </c>
      <c r="B97" s="32" t="s">
        <v>531</v>
      </c>
      <c r="C97" s="4" t="s">
        <v>9</v>
      </c>
      <c r="D97" s="4">
        <v>15</v>
      </c>
      <c r="E97" s="1">
        <v>7</v>
      </c>
      <c r="F97" s="1">
        <v>8</v>
      </c>
      <c r="G97" s="1">
        <v>0</v>
      </c>
      <c r="H97" s="15">
        <v>0.46700000000000003</v>
      </c>
      <c r="I97" s="5">
        <v>1363.14</v>
      </c>
      <c r="J97" s="5">
        <v>1344.56</v>
      </c>
      <c r="K97" s="5">
        <f t="shared" si="14"/>
        <v>90.876000000000005</v>
      </c>
      <c r="L97" s="5">
        <f t="shared" si="15"/>
        <v>89.637333333333331</v>
      </c>
      <c r="M97" s="4">
        <v>2016</v>
      </c>
    </row>
    <row r="98" spans="1:13" ht="14.25" customHeight="1" x14ac:dyDescent="0.25">
      <c r="A98" s="4">
        <v>5</v>
      </c>
      <c r="B98" s="32" t="s">
        <v>56</v>
      </c>
      <c r="C98" s="4" t="s">
        <v>508</v>
      </c>
      <c r="D98" s="4">
        <v>15</v>
      </c>
      <c r="E98" s="1">
        <v>7</v>
      </c>
      <c r="F98" s="1">
        <v>8</v>
      </c>
      <c r="G98" s="1">
        <v>0</v>
      </c>
      <c r="H98" s="15">
        <v>0.46700000000000003</v>
      </c>
      <c r="I98" s="5">
        <v>1386.94</v>
      </c>
      <c r="J98" s="5">
        <v>1378.48</v>
      </c>
      <c r="K98" s="5">
        <f t="shared" si="14"/>
        <v>92.462666666666664</v>
      </c>
      <c r="L98" s="5">
        <f t="shared" si="15"/>
        <v>91.898666666666671</v>
      </c>
      <c r="M98" s="4">
        <v>2016</v>
      </c>
    </row>
    <row r="99" spans="1:13" ht="14.25" customHeight="1" x14ac:dyDescent="0.25">
      <c r="A99" s="4">
        <v>6</v>
      </c>
      <c r="B99" s="32" t="s">
        <v>532</v>
      </c>
      <c r="C99" s="4" t="s">
        <v>520</v>
      </c>
      <c r="D99" s="4">
        <v>15</v>
      </c>
      <c r="E99" s="1">
        <v>7</v>
      </c>
      <c r="F99" s="1">
        <v>8</v>
      </c>
      <c r="G99" s="1">
        <v>0</v>
      </c>
      <c r="H99" s="15">
        <v>0.46700000000000003</v>
      </c>
      <c r="I99" s="5">
        <v>1275.8</v>
      </c>
      <c r="J99" s="5">
        <v>1332.18</v>
      </c>
      <c r="K99" s="5">
        <f t="shared" si="14"/>
        <v>85.053333333333327</v>
      </c>
      <c r="L99" s="5">
        <f t="shared" si="15"/>
        <v>88.811999999999998</v>
      </c>
      <c r="M99" s="4">
        <v>2016</v>
      </c>
    </row>
    <row r="100" spans="1:13" ht="14.25" customHeight="1" x14ac:dyDescent="0.25">
      <c r="A100" s="4">
        <v>7</v>
      </c>
      <c r="B100" s="8" t="s">
        <v>58</v>
      </c>
      <c r="C100" s="4" t="s">
        <v>523</v>
      </c>
      <c r="D100" s="4">
        <v>15</v>
      </c>
      <c r="E100" s="1">
        <v>5</v>
      </c>
      <c r="F100" s="1">
        <v>10</v>
      </c>
      <c r="G100" s="1">
        <v>0</v>
      </c>
      <c r="H100" s="15">
        <v>0.33300000000000002</v>
      </c>
      <c r="I100" s="5">
        <v>1175.48</v>
      </c>
      <c r="J100" s="5">
        <v>1333.98</v>
      </c>
      <c r="K100" s="5">
        <f t="shared" si="14"/>
        <v>78.365333333333339</v>
      </c>
      <c r="L100" s="5">
        <f t="shared" si="15"/>
        <v>88.932000000000002</v>
      </c>
      <c r="M100" s="4">
        <v>2016</v>
      </c>
    </row>
    <row r="101" spans="1:13" ht="14.25" customHeight="1" x14ac:dyDescent="0.25">
      <c r="A101" s="4">
        <v>8</v>
      </c>
      <c r="B101" s="32" t="s">
        <v>533</v>
      </c>
      <c r="C101" s="4" t="s">
        <v>510</v>
      </c>
      <c r="D101" s="4">
        <v>15</v>
      </c>
      <c r="E101" s="1">
        <v>4</v>
      </c>
      <c r="F101" s="1">
        <v>11</v>
      </c>
      <c r="G101" s="1">
        <v>0</v>
      </c>
      <c r="H101" s="15">
        <v>0.26700000000000002</v>
      </c>
      <c r="I101" s="5">
        <v>1242.8800000000001</v>
      </c>
      <c r="J101" s="5">
        <v>1545.02</v>
      </c>
      <c r="K101" s="5">
        <f t="shared" si="14"/>
        <v>82.858666666666679</v>
      </c>
      <c r="L101" s="5">
        <f t="shared" si="15"/>
        <v>103.00133333333333</v>
      </c>
      <c r="M101" s="4">
        <v>2016</v>
      </c>
    </row>
    <row r="102" spans="1:13" ht="14.25" customHeight="1" x14ac:dyDescent="0.25"/>
    <row r="103" spans="1:13" ht="14.25" customHeight="1" x14ac:dyDescent="0.25">
      <c r="E103" s="1"/>
      <c r="F103" s="1"/>
      <c r="G103" s="1"/>
    </row>
    <row r="104" spans="1:13" ht="14.25" customHeight="1" x14ac:dyDescent="0.25">
      <c r="E104" s="1"/>
      <c r="F104" s="1"/>
      <c r="G104" s="1"/>
    </row>
    <row r="105" spans="1:13" ht="14.25" customHeight="1" x14ac:dyDescent="0.25">
      <c r="E105" s="1"/>
      <c r="F105" s="1"/>
      <c r="G105" s="1"/>
    </row>
    <row r="106" spans="1:13" ht="14.25" customHeight="1" x14ac:dyDescent="0.25">
      <c r="E106" s="1"/>
      <c r="F106" s="1"/>
      <c r="G106" s="1"/>
    </row>
    <row r="107" spans="1:13" ht="14.25" customHeight="1" x14ac:dyDescent="0.25">
      <c r="E107" s="1"/>
      <c r="F107" s="1"/>
      <c r="G107" s="1"/>
    </row>
    <row r="108" spans="1:13" ht="14.25" customHeight="1" x14ac:dyDescent="0.25">
      <c r="E108" s="1"/>
      <c r="F108" s="1"/>
      <c r="G108" s="1"/>
    </row>
    <row r="109" spans="1:13" ht="14.25" customHeight="1" x14ac:dyDescent="0.25">
      <c r="E109" s="1"/>
      <c r="F109" s="1"/>
      <c r="G109" s="1"/>
    </row>
    <row r="110" spans="1:13" ht="14.25" customHeight="1" x14ac:dyDescent="0.25">
      <c r="E110" s="1"/>
      <c r="F110" s="1"/>
      <c r="G110" s="1"/>
    </row>
    <row r="111" spans="1:13" ht="14.25" customHeight="1" x14ac:dyDescent="0.25">
      <c r="E111" s="1"/>
      <c r="F111" s="1"/>
      <c r="G111" s="1"/>
    </row>
    <row r="112" spans="1:13" ht="14.25" customHeight="1" x14ac:dyDescent="0.25">
      <c r="E112" s="1"/>
      <c r="F112" s="1"/>
      <c r="G112" s="1"/>
    </row>
    <row r="113" spans="5:7" ht="14.25" customHeight="1" x14ac:dyDescent="0.25">
      <c r="E113" s="1"/>
      <c r="F113" s="1"/>
      <c r="G113" s="1"/>
    </row>
    <row r="114" spans="5:7" ht="14.25" customHeight="1" x14ac:dyDescent="0.25">
      <c r="E114" s="1"/>
      <c r="F114" s="1"/>
      <c r="G114" s="1"/>
    </row>
    <row r="115" spans="5:7" ht="14.25" customHeight="1" x14ac:dyDescent="0.25">
      <c r="E115" s="1"/>
      <c r="F115" s="1"/>
      <c r="G115" s="1"/>
    </row>
    <row r="116" spans="5:7" ht="14.25" customHeight="1" x14ac:dyDescent="0.25">
      <c r="E116" s="1"/>
      <c r="F116" s="1"/>
      <c r="G116" s="1"/>
    </row>
    <row r="117" spans="5:7" ht="14.25" customHeight="1" x14ac:dyDescent="0.25">
      <c r="E117" s="1"/>
      <c r="F117" s="1"/>
      <c r="G117" s="1"/>
    </row>
    <row r="118" spans="5:7" ht="14.25" customHeight="1" x14ac:dyDescent="0.25">
      <c r="E118" s="1"/>
      <c r="F118" s="1"/>
      <c r="G118" s="1"/>
    </row>
    <row r="119" spans="5:7" ht="14.25" customHeight="1" x14ac:dyDescent="0.25">
      <c r="E119" s="1"/>
      <c r="F119" s="1"/>
      <c r="G119" s="1"/>
    </row>
    <row r="120" spans="5:7" ht="14.25" customHeight="1" x14ac:dyDescent="0.25">
      <c r="E120" s="1"/>
      <c r="F120" s="1"/>
      <c r="G120" s="1"/>
    </row>
    <row r="121" spans="5:7" ht="14.25" customHeight="1" x14ac:dyDescent="0.25">
      <c r="E121" s="1"/>
      <c r="F121" s="1"/>
      <c r="G121" s="1"/>
    </row>
    <row r="122" spans="5:7" ht="14.25" customHeight="1" x14ac:dyDescent="0.25">
      <c r="E122" s="1"/>
      <c r="F122" s="1"/>
      <c r="G122" s="1"/>
    </row>
    <row r="123" spans="5:7" ht="14.25" customHeight="1" x14ac:dyDescent="0.25">
      <c r="E123" s="1"/>
      <c r="F123" s="1"/>
      <c r="G123" s="1"/>
    </row>
    <row r="124" spans="5:7" ht="14.25" customHeight="1" x14ac:dyDescent="0.25">
      <c r="E124" s="1"/>
      <c r="F124" s="1"/>
      <c r="G124" s="1"/>
    </row>
    <row r="125" spans="5:7" ht="14.25" customHeight="1" x14ac:dyDescent="0.25">
      <c r="E125" s="1"/>
      <c r="F125" s="1"/>
      <c r="G125" s="1"/>
    </row>
    <row r="126" spans="5:7" ht="14.25" customHeight="1" x14ac:dyDescent="0.25">
      <c r="E126" s="1"/>
      <c r="F126" s="1"/>
      <c r="G126" s="1"/>
    </row>
    <row r="127" spans="5:7" ht="14.25" customHeight="1" x14ac:dyDescent="0.25">
      <c r="E127" s="1"/>
      <c r="F127" s="1"/>
      <c r="G127" s="1"/>
    </row>
    <row r="128" spans="5:7" ht="14.25" customHeight="1" x14ac:dyDescent="0.25">
      <c r="E128" s="1"/>
      <c r="F128" s="1"/>
      <c r="G128" s="1"/>
    </row>
    <row r="129" spans="5:7" ht="14.25" customHeight="1" x14ac:dyDescent="0.25">
      <c r="E129" s="1"/>
      <c r="F129" s="1"/>
      <c r="G129" s="1"/>
    </row>
    <row r="130" spans="5:7" ht="14.25" customHeight="1" x14ac:dyDescent="0.25">
      <c r="E130" s="1"/>
      <c r="F130" s="1"/>
      <c r="G130" s="1"/>
    </row>
    <row r="131" spans="5:7" ht="14.25" customHeight="1" x14ac:dyDescent="0.25">
      <c r="E131" s="1"/>
      <c r="F131" s="1"/>
      <c r="G131" s="1"/>
    </row>
    <row r="132" spans="5:7" ht="14.25" customHeight="1" x14ac:dyDescent="0.25">
      <c r="E132" s="1"/>
      <c r="F132" s="1"/>
      <c r="G132" s="1"/>
    </row>
    <row r="133" spans="5:7" ht="14.25" customHeight="1" x14ac:dyDescent="0.25">
      <c r="E133" s="1"/>
      <c r="F133" s="1"/>
      <c r="G133" s="1"/>
    </row>
    <row r="134" spans="5:7" ht="14.25" customHeight="1" x14ac:dyDescent="0.25">
      <c r="E134" s="1"/>
      <c r="F134" s="1"/>
      <c r="G134" s="1"/>
    </row>
    <row r="135" spans="5:7" ht="14.25" customHeight="1" x14ac:dyDescent="0.25">
      <c r="E135" s="1"/>
      <c r="F135" s="1"/>
      <c r="G135" s="1"/>
    </row>
    <row r="136" spans="5:7" ht="14.25" customHeight="1" x14ac:dyDescent="0.25">
      <c r="E136" s="1"/>
      <c r="F136" s="1"/>
      <c r="G136" s="1"/>
    </row>
    <row r="137" spans="5:7" ht="14.25" customHeight="1" x14ac:dyDescent="0.25">
      <c r="E137" s="1"/>
      <c r="F137" s="1"/>
      <c r="G137" s="1"/>
    </row>
    <row r="138" spans="5:7" ht="14.25" customHeight="1" x14ac:dyDescent="0.25">
      <c r="E138" s="1"/>
      <c r="F138" s="1"/>
      <c r="G138" s="1"/>
    </row>
    <row r="139" spans="5:7" ht="14.25" customHeight="1" x14ac:dyDescent="0.25">
      <c r="E139" s="1"/>
      <c r="F139" s="1"/>
      <c r="G139" s="1"/>
    </row>
    <row r="140" spans="5:7" ht="14.25" customHeight="1" x14ac:dyDescent="0.25">
      <c r="E140" s="1"/>
      <c r="F140" s="1"/>
      <c r="G140" s="1"/>
    </row>
    <row r="141" spans="5:7" ht="14.25" customHeight="1" x14ac:dyDescent="0.25">
      <c r="E141" s="1"/>
      <c r="F141" s="1"/>
      <c r="G141" s="1"/>
    </row>
    <row r="142" spans="5:7" ht="14.25" customHeight="1" x14ac:dyDescent="0.25">
      <c r="E142" s="1"/>
      <c r="F142" s="1"/>
      <c r="G142" s="1"/>
    </row>
    <row r="143" spans="5:7" ht="14.25" customHeight="1" x14ac:dyDescent="0.25">
      <c r="E143" s="1"/>
      <c r="F143" s="1"/>
      <c r="G143" s="1"/>
    </row>
    <row r="144" spans="5:7" ht="14.25" customHeight="1" x14ac:dyDescent="0.25">
      <c r="E144" s="1"/>
      <c r="F144" s="1"/>
      <c r="G144" s="1"/>
    </row>
    <row r="145" spans="5:7" ht="14.25" customHeight="1" x14ac:dyDescent="0.25">
      <c r="E145" s="1"/>
      <c r="F145" s="1"/>
      <c r="G145" s="1"/>
    </row>
    <row r="146" spans="5:7" ht="14.25" customHeight="1" x14ac:dyDescent="0.25">
      <c r="E146" s="1"/>
      <c r="F146" s="1"/>
      <c r="G146" s="1"/>
    </row>
    <row r="147" spans="5:7" ht="14.25" customHeight="1" x14ac:dyDescent="0.25">
      <c r="E147" s="1"/>
      <c r="F147" s="1"/>
      <c r="G147" s="1"/>
    </row>
    <row r="148" spans="5:7" ht="14.25" customHeight="1" x14ac:dyDescent="0.25">
      <c r="E148" s="1"/>
      <c r="F148" s="1"/>
      <c r="G148" s="1"/>
    </row>
    <row r="149" spans="5:7" ht="14.25" customHeight="1" x14ac:dyDescent="0.25">
      <c r="E149" s="1"/>
      <c r="F149" s="1"/>
      <c r="G149" s="1"/>
    </row>
    <row r="150" spans="5:7" ht="14.25" customHeight="1" x14ac:dyDescent="0.25">
      <c r="E150" s="1"/>
      <c r="F150" s="1"/>
      <c r="G150" s="1"/>
    </row>
    <row r="151" spans="5:7" ht="14.25" customHeight="1" x14ac:dyDescent="0.25">
      <c r="E151" s="1"/>
      <c r="F151" s="1"/>
      <c r="G151" s="1"/>
    </row>
    <row r="152" spans="5:7" ht="14.25" customHeight="1" x14ac:dyDescent="0.25">
      <c r="E152" s="1"/>
      <c r="F152" s="1"/>
      <c r="G152" s="1"/>
    </row>
    <row r="153" spans="5:7" ht="14.25" customHeight="1" x14ac:dyDescent="0.25">
      <c r="E153" s="1"/>
      <c r="F153" s="1"/>
      <c r="G153" s="1"/>
    </row>
    <row r="154" spans="5:7" ht="14.25" customHeight="1" x14ac:dyDescent="0.25">
      <c r="E154" s="1"/>
      <c r="F154" s="1"/>
      <c r="G154" s="1"/>
    </row>
    <row r="155" spans="5:7" ht="14.25" customHeight="1" x14ac:dyDescent="0.25">
      <c r="E155" s="1"/>
      <c r="F155" s="1"/>
      <c r="G155" s="1"/>
    </row>
    <row r="156" spans="5:7" ht="14.25" customHeight="1" x14ac:dyDescent="0.25">
      <c r="E156" s="1"/>
      <c r="F156" s="1"/>
      <c r="G156" s="1"/>
    </row>
    <row r="157" spans="5:7" ht="14.25" customHeight="1" x14ac:dyDescent="0.25">
      <c r="E157" s="1"/>
      <c r="F157" s="1"/>
      <c r="G157" s="1"/>
    </row>
    <row r="158" spans="5:7" ht="14.25" customHeight="1" x14ac:dyDescent="0.25">
      <c r="E158" s="1"/>
      <c r="F158" s="1"/>
      <c r="G158" s="1"/>
    </row>
    <row r="159" spans="5:7" ht="14.25" customHeight="1" x14ac:dyDescent="0.25">
      <c r="E159" s="1"/>
      <c r="F159" s="1"/>
      <c r="G159" s="1"/>
    </row>
    <row r="160" spans="5:7" ht="14.25" customHeight="1" x14ac:dyDescent="0.25">
      <c r="E160" s="1"/>
      <c r="F160" s="1"/>
      <c r="G160" s="1"/>
    </row>
    <row r="161" spans="5:7" ht="14.25" customHeight="1" x14ac:dyDescent="0.25">
      <c r="E161" s="1"/>
      <c r="F161" s="1"/>
      <c r="G161" s="1"/>
    </row>
    <row r="162" spans="5:7" ht="14.25" customHeight="1" x14ac:dyDescent="0.25">
      <c r="E162" s="1"/>
      <c r="F162" s="1"/>
      <c r="G162" s="1"/>
    </row>
    <row r="163" spans="5:7" ht="14.25" customHeight="1" x14ac:dyDescent="0.25">
      <c r="E163" s="1"/>
      <c r="F163" s="1"/>
      <c r="G163" s="1"/>
    </row>
    <row r="164" spans="5:7" ht="14.25" customHeight="1" x14ac:dyDescent="0.25">
      <c r="E164" s="1"/>
      <c r="F164" s="1"/>
      <c r="G164" s="1"/>
    </row>
    <row r="165" spans="5:7" ht="14.25" customHeight="1" x14ac:dyDescent="0.25">
      <c r="E165" s="1"/>
      <c r="F165" s="1"/>
      <c r="G165" s="1"/>
    </row>
    <row r="166" spans="5:7" ht="14.25" customHeight="1" x14ac:dyDescent="0.25">
      <c r="E166" s="1"/>
      <c r="F166" s="1"/>
      <c r="G166" s="1"/>
    </row>
    <row r="167" spans="5:7" ht="14.25" customHeight="1" x14ac:dyDescent="0.25">
      <c r="E167" s="1"/>
      <c r="F167" s="1"/>
      <c r="G167" s="1"/>
    </row>
    <row r="168" spans="5:7" ht="14.25" customHeight="1" x14ac:dyDescent="0.25">
      <c r="E168" s="1"/>
      <c r="F168" s="1"/>
      <c r="G168" s="1"/>
    </row>
    <row r="169" spans="5:7" ht="14.25" customHeight="1" x14ac:dyDescent="0.25">
      <c r="E169" s="1"/>
      <c r="F169" s="1"/>
      <c r="G169" s="1"/>
    </row>
    <row r="170" spans="5:7" ht="14.25" customHeight="1" x14ac:dyDescent="0.25">
      <c r="E170" s="1"/>
      <c r="F170" s="1"/>
      <c r="G170" s="1"/>
    </row>
    <row r="171" spans="5:7" ht="14.25" customHeight="1" x14ac:dyDescent="0.25">
      <c r="E171" s="1"/>
      <c r="F171" s="1"/>
      <c r="G171" s="1"/>
    </row>
    <row r="172" spans="5:7" ht="14.25" customHeight="1" x14ac:dyDescent="0.25">
      <c r="E172" s="1"/>
      <c r="F172" s="1"/>
      <c r="G172" s="1"/>
    </row>
    <row r="173" spans="5:7" ht="14.25" customHeight="1" x14ac:dyDescent="0.25">
      <c r="E173" s="1"/>
      <c r="F173" s="1"/>
      <c r="G173" s="1"/>
    </row>
    <row r="174" spans="5:7" ht="14.25" customHeight="1" x14ac:dyDescent="0.25">
      <c r="E174" s="1"/>
      <c r="F174" s="1"/>
      <c r="G174" s="1"/>
    </row>
    <row r="175" spans="5:7" ht="14.25" customHeight="1" x14ac:dyDescent="0.25">
      <c r="E175" s="1"/>
      <c r="F175" s="1"/>
      <c r="G175" s="1"/>
    </row>
    <row r="176" spans="5:7" ht="14.25" customHeight="1" x14ac:dyDescent="0.25">
      <c r="E176" s="1"/>
      <c r="F176" s="1"/>
      <c r="G176" s="1"/>
    </row>
    <row r="177" spans="5:7" ht="14.25" customHeight="1" x14ac:dyDescent="0.25">
      <c r="E177" s="1"/>
      <c r="F177" s="1"/>
      <c r="G177" s="1"/>
    </row>
    <row r="178" spans="5:7" ht="14.25" customHeight="1" x14ac:dyDescent="0.25">
      <c r="E178" s="1"/>
      <c r="F178" s="1"/>
      <c r="G178" s="1"/>
    </row>
    <row r="179" spans="5:7" ht="14.25" customHeight="1" x14ac:dyDescent="0.25">
      <c r="E179" s="1"/>
      <c r="F179" s="1"/>
      <c r="G179" s="1"/>
    </row>
    <row r="180" spans="5:7" ht="14.25" customHeight="1" x14ac:dyDescent="0.25">
      <c r="E180" s="1"/>
      <c r="F180" s="1"/>
      <c r="G180" s="1"/>
    </row>
    <row r="181" spans="5:7" ht="14.25" customHeight="1" x14ac:dyDescent="0.25">
      <c r="E181" s="1"/>
      <c r="F181" s="1"/>
      <c r="G181" s="1"/>
    </row>
    <row r="182" spans="5:7" ht="14.25" customHeight="1" x14ac:dyDescent="0.25">
      <c r="E182" s="1"/>
      <c r="F182" s="1"/>
      <c r="G182" s="1"/>
    </row>
    <row r="183" spans="5:7" ht="14.25" customHeight="1" x14ac:dyDescent="0.25">
      <c r="E183" s="1"/>
      <c r="F183" s="1"/>
      <c r="G183" s="1"/>
    </row>
    <row r="184" spans="5:7" ht="14.25" customHeight="1" x14ac:dyDescent="0.25">
      <c r="E184" s="1"/>
      <c r="F184" s="1"/>
      <c r="G184" s="1"/>
    </row>
    <row r="185" spans="5:7" ht="14.25" customHeight="1" x14ac:dyDescent="0.25">
      <c r="E185" s="1"/>
      <c r="F185" s="1"/>
      <c r="G185" s="1"/>
    </row>
    <row r="186" spans="5:7" ht="14.25" customHeight="1" x14ac:dyDescent="0.25">
      <c r="E186" s="1"/>
      <c r="F186" s="1"/>
      <c r="G186" s="1"/>
    </row>
    <row r="187" spans="5:7" ht="14.25" customHeight="1" x14ac:dyDescent="0.25">
      <c r="E187" s="1"/>
      <c r="F187" s="1"/>
      <c r="G187" s="1"/>
    </row>
    <row r="188" spans="5:7" ht="14.25" customHeight="1" x14ac:dyDescent="0.25">
      <c r="E188" s="1"/>
      <c r="F188" s="1"/>
      <c r="G188" s="1"/>
    </row>
    <row r="189" spans="5:7" ht="14.25" customHeight="1" x14ac:dyDescent="0.25">
      <c r="E189" s="1"/>
      <c r="F189" s="1"/>
      <c r="G189" s="1"/>
    </row>
    <row r="190" spans="5:7" ht="14.25" customHeight="1" x14ac:dyDescent="0.25">
      <c r="E190" s="1"/>
      <c r="F190" s="1"/>
      <c r="G190" s="1"/>
    </row>
    <row r="191" spans="5:7" ht="14.25" customHeight="1" x14ac:dyDescent="0.25">
      <c r="E191" s="1"/>
      <c r="F191" s="1"/>
      <c r="G191" s="1"/>
    </row>
    <row r="192" spans="5:7" ht="14.25" customHeight="1" x14ac:dyDescent="0.25">
      <c r="E192" s="1"/>
      <c r="F192" s="1"/>
      <c r="G192" s="1"/>
    </row>
    <row r="193" spans="5:7" ht="14.25" customHeight="1" x14ac:dyDescent="0.25">
      <c r="E193" s="1"/>
      <c r="F193" s="1"/>
      <c r="G193" s="1"/>
    </row>
    <row r="194" spans="5:7" ht="14.25" customHeight="1" x14ac:dyDescent="0.25">
      <c r="E194" s="1"/>
      <c r="F194" s="1"/>
      <c r="G194" s="1"/>
    </row>
    <row r="195" spans="5:7" ht="14.25" customHeight="1" x14ac:dyDescent="0.25">
      <c r="E195" s="1"/>
      <c r="F195" s="1"/>
      <c r="G195" s="1"/>
    </row>
    <row r="196" spans="5:7" ht="14.25" customHeight="1" x14ac:dyDescent="0.25">
      <c r="E196" s="1"/>
      <c r="F196" s="1"/>
      <c r="G196" s="1"/>
    </row>
    <row r="197" spans="5:7" ht="14.25" customHeight="1" x14ac:dyDescent="0.25">
      <c r="E197" s="1"/>
      <c r="F197" s="1"/>
      <c r="G197" s="1"/>
    </row>
    <row r="198" spans="5:7" ht="14.25" customHeight="1" x14ac:dyDescent="0.25">
      <c r="E198" s="1"/>
      <c r="F198" s="1"/>
      <c r="G198" s="1"/>
    </row>
    <row r="199" spans="5:7" ht="14.25" customHeight="1" x14ac:dyDescent="0.25">
      <c r="E199" s="1"/>
      <c r="F199" s="1"/>
      <c r="G199" s="1"/>
    </row>
    <row r="200" spans="5:7" ht="14.25" customHeight="1" x14ac:dyDescent="0.25">
      <c r="E200" s="1"/>
      <c r="F200" s="1"/>
      <c r="G200" s="1"/>
    </row>
    <row r="201" spans="5:7" ht="14.25" customHeight="1" x14ac:dyDescent="0.25">
      <c r="E201" s="1"/>
      <c r="F201" s="1"/>
      <c r="G201" s="1"/>
    </row>
    <row r="202" spans="5:7" ht="14.25" customHeight="1" x14ac:dyDescent="0.25">
      <c r="E202" s="1"/>
      <c r="F202" s="1"/>
      <c r="G202" s="1"/>
    </row>
    <row r="203" spans="5:7" ht="14.25" customHeight="1" x14ac:dyDescent="0.25">
      <c r="E203" s="1"/>
      <c r="F203" s="1"/>
      <c r="G203" s="1"/>
    </row>
    <row r="204" spans="5:7" ht="14.25" customHeight="1" x14ac:dyDescent="0.25">
      <c r="E204" s="1"/>
      <c r="F204" s="1"/>
      <c r="G204" s="1"/>
    </row>
    <row r="205" spans="5:7" ht="14.25" customHeight="1" x14ac:dyDescent="0.25">
      <c r="E205" s="1"/>
      <c r="F205" s="1"/>
      <c r="G205" s="1"/>
    </row>
    <row r="206" spans="5:7" ht="14.25" customHeight="1" x14ac:dyDescent="0.25">
      <c r="E206" s="1"/>
      <c r="F206" s="1"/>
      <c r="G206" s="1"/>
    </row>
    <row r="207" spans="5:7" ht="14.25" customHeight="1" x14ac:dyDescent="0.25">
      <c r="E207" s="1"/>
      <c r="F207" s="1"/>
      <c r="G207" s="1"/>
    </row>
    <row r="208" spans="5:7" ht="14.25" customHeight="1" x14ac:dyDescent="0.25">
      <c r="E208" s="1"/>
      <c r="F208" s="1"/>
      <c r="G208" s="1"/>
    </row>
    <row r="209" spans="5:7" ht="14.25" customHeight="1" x14ac:dyDescent="0.25">
      <c r="E209" s="1"/>
      <c r="F209" s="1"/>
      <c r="G209" s="1"/>
    </row>
    <row r="210" spans="5:7" ht="14.25" customHeight="1" x14ac:dyDescent="0.25">
      <c r="E210" s="1"/>
      <c r="F210" s="1"/>
      <c r="G210" s="1"/>
    </row>
    <row r="211" spans="5:7" ht="14.25" customHeight="1" x14ac:dyDescent="0.25">
      <c r="E211" s="1"/>
      <c r="F211" s="1"/>
      <c r="G211" s="1"/>
    </row>
    <row r="212" spans="5:7" ht="14.25" customHeight="1" x14ac:dyDescent="0.25">
      <c r="E212" s="1"/>
      <c r="F212" s="1"/>
      <c r="G212" s="1"/>
    </row>
    <row r="213" spans="5:7" ht="14.25" customHeight="1" x14ac:dyDescent="0.25">
      <c r="E213" s="1"/>
      <c r="F213" s="1"/>
      <c r="G213" s="1"/>
    </row>
    <row r="214" spans="5:7" ht="14.25" customHeight="1" x14ac:dyDescent="0.25">
      <c r="E214" s="1"/>
      <c r="F214" s="1"/>
      <c r="G214" s="1"/>
    </row>
    <row r="215" spans="5:7" ht="14.25" customHeight="1" x14ac:dyDescent="0.25">
      <c r="E215" s="1"/>
      <c r="F215" s="1"/>
      <c r="G215" s="1"/>
    </row>
    <row r="216" spans="5:7" ht="14.25" customHeight="1" x14ac:dyDescent="0.25">
      <c r="E216" s="1"/>
      <c r="F216" s="1"/>
      <c r="G216" s="1"/>
    </row>
    <row r="217" spans="5:7" ht="14.25" customHeight="1" x14ac:dyDescent="0.25">
      <c r="E217" s="1"/>
      <c r="F217" s="1"/>
      <c r="G217" s="1"/>
    </row>
    <row r="218" spans="5:7" ht="14.25" customHeight="1" x14ac:dyDescent="0.25">
      <c r="E218" s="1"/>
      <c r="F218" s="1"/>
      <c r="G218" s="1"/>
    </row>
    <row r="219" spans="5:7" ht="14.25" customHeight="1" x14ac:dyDescent="0.25">
      <c r="E219" s="1"/>
      <c r="F219" s="1"/>
      <c r="G219" s="1"/>
    </row>
    <row r="220" spans="5:7" ht="14.25" customHeight="1" x14ac:dyDescent="0.25">
      <c r="E220" s="1"/>
      <c r="F220" s="1"/>
      <c r="G220" s="1"/>
    </row>
    <row r="221" spans="5:7" ht="14.25" customHeight="1" x14ac:dyDescent="0.25">
      <c r="E221" s="1"/>
      <c r="F221" s="1"/>
      <c r="G221" s="1"/>
    </row>
    <row r="222" spans="5:7" ht="14.25" customHeight="1" x14ac:dyDescent="0.25">
      <c r="E222" s="1"/>
      <c r="F222" s="1"/>
      <c r="G222" s="1"/>
    </row>
    <row r="223" spans="5:7" ht="14.25" customHeight="1" x14ac:dyDescent="0.25">
      <c r="E223" s="1"/>
      <c r="F223" s="1"/>
      <c r="G223" s="1"/>
    </row>
    <row r="224" spans="5:7" ht="14.25" customHeight="1" x14ac:dyDescent="0.25">
      <c r="E224" s="1"/>
      <c r="F224" s="1"/>
      <c r="G224" s="1"/>
    </row>
    <row r="225" spans="5:7" ht="14.25" customHeight="1" x14ac:dyDescent="0.25">
      <c r="E225" s="1"/>
      <c r="F225" s="1"/>
      <c r="G225" s="1"/>
    </row>
    <row r="226" spans="5:7" ht="14.25" customHeight="1" x14ac:dyDescent="0.25">
      <c r="E226" s="1"/>
      <c r="F226" s="1"/>
      <c r="G226" s="1"/>
    </row>
    <row r="227" spans="5:7" ht="14.25" customHeight="1" x14ac:dyDescent="0.25">
      <c r="E227" s="1"/>
      <c r="F227" s="1"/>
      <c r="G227" s="1"/>
    </row>
    <row r="228" spans="5:7" ht="14.25" customHeight="1" x14ac:dyDescent="0.25">
      <c r="E228" s="1"/>
      <c r="F228" s="1"/>
      <c r="G228" s="1"/>
    </row>
    <row r="229" spans="5:7" ht="14.25" customHeight="1" x14ac:dyDescent="0.25">
      <c r="E229" s="1"/>
      <c r="F229" s="1"/>
      <c r="G229" s="1"/>
    </row>
    <row r="230" spans="5:7" ht="14.25" customHeight="1" x14ac:dyDescent="0.25">
      <c r="E230" s="1"/>
      <c r="F230" s="1"/>
      <c r="G230" s="1"/>
    </row>
    <row r="231" spans="5:7" ht="14.25" customHeight="1" x14ac:dyDescent="0.25">
      <c r="E231" s="1"/>
      <c r="F231" s="1"/>
      <c r="G231" s="1"/>
    </row>
    <row r="232" spans="5:7" ht="14.25" customHeight="1" x14ac:dyDescent="0.25">
      <c r="E232" s="1"/>
      <c r="F232" s="1"/>
      <c r="G232" s="1"/>
    </row>
    <row r="233" spans="5:7" ht="14.25" customHeight="1" x14ac:dyDescent="0.25">
      <c r="E233" s="1"/>
      <c r="F233" s="1"/>
      <c r="G233" s="1"/>
    </row>
    <row r="234" spans="5:7" ht="14.25" customHeight="1" x14ac:dyDescent="0.25">
      <c r="E234" s="1"/>
      <c r="F234" s="1"/>
      <c r="G234" s="1"/>
    </row>
    <row r="235" spans="5:7" ht="14.25" customHeight="1" x14ac:dyDescent="0.25">
      <c r="E235" s="1"/>
      <c r="F235" s="1"/>
      <c r="G235" s="1"/>
    </row>
    <row r="236" spans="5:7" ht="14.25" customHeight="1" x14ac:dyDescent="0.25">
      <c r="E236" s="1"/>
      <c r="F236" s="1"/>
      <c r="G236" s="1"/>
    </row>
    <row r="237" spans="5:7" ht="14.25" customHeight="1" x14ac:dyDescent="0.25">
      <c r="E237" s="1"/>
      <c r="F237" s="1"/>
      <c r="G237" s="1"/>
    </row>
    <row r="238" spans="5:7" ht="14.25" customHeight="1" x14ac:dyDescent="0.25">
      <c r="E238" s="1"/>
      <c r="F238" s="1"/>
      <c r="G238" s="1"/>
    </row>
    <row r="239" spans="5:7" ht="14.25" customHeight="1" x14ac:dyDescent="0.25">
      <c r="E239" s="1"/>
      <c r="F239" s="1"/>
      <c r="G239" s="1"/>
    </row>
    <row r="240" spans="5:7" ht="14.25" customHeight="1" x14ac:dyDescent="0.25">
      <c r="E240" s="1"/>
      <c r="F240" s="1"/>
      <c r="G240" s="1"/>
    </row>
    <row r="241" spans="5:7" ht="14.25" customHeight="1" x14ac:dyDescent="0.25">
      <c r="E241" s="1"/>
      <c r="F241" s="1"/>
      <c r="G241" s="1"/>
    </row>
    <row r="242" spans="5:7" ht="14.25" customHeight="1" x14ac:dyDescent="0.25">
      <c r="E242" s="1"/>
      <c r="F242" s="1"/>
      <c r="G242" s="1"/>
    </row>
    <row r="243" spans="5:7" ht="14.25" customHeight="1" x14ac:dyDescent="0.25">
      <c r="E243" s="1"/>
      <c r="F243" s="1"/>
      <c r="G243" s="1"/>
    </row>
    <row r="244" spans="5:7" ht="14.25" customHeight="1" x14ac:dyDescent="0.25">
      <c r="E244" s="1"/>
      <c r="F244" s="1"/>
      <c r="G244" s="1"/>
    </row>
    <row r="245" spans="5:7" ht="14.25" customHeight="1" x14ac:dyDescent="0.25">
      <c r="E245" s="1"/>
      <c r="F245" s="1"/>
      <c r="G245" s="1"/>
    </row>
    <row r="246" spans="5:7" ht="14.25" customHeight="1" x14ac:dyDescent="0.25">
      <c r="E246" s="1"/>
      <c r="F246" s="1"/>
      <c r="G246" s="1"/>
    </row>
    <row r="247" spans="5:7" ht="14.25" customHeight="1" x14ac:dyDescent="0.25">
      <c r="E247" s="1"/>
      <c r="F247" s="1"/>
      <c r="G247" s="1"/>
    </row>
    <row r="248" spans="5:7" ht="14.25" customHeight="1" x14ac:dyDescent="0.25">
      <c r="E248" s="1"/>
      <c r="F248" s="1"/>
      <c r="G248" s="1"/>
    </row>
    <row r="249" spans="5:7" ht="14.25" customHeight="1" x14ac:dyDescent="0.25">
      <c r="E249" s="1"/>
      <c r="F249" s="1"/>
      <c r="G249" s="1"/>
    </row>
    <row r="250" spans="5:7" ht="14.25" customHeight="1" x14ac:dyDescent="0.25">
      <c r="E250" s="1"/>
      <c r="F250" s="1"/>
      <c r="G250" s="1"/>
    </row>
    <row r="251" spans="5:7" ht="14.25" customHeight="1" x14ac:dyDescent="0.25">
      <c r="E251" s="1"/>
      <c r="F251" s="1"/>
      <c r="G251" s="1"/>
    </row>
    <row r="252" spans="5:7" ht="14.25" customHeight="1" x14ac:dyDescent="0.25">
      <c r="E252" s="1"/>
      <c r="F252" s="1"/>
      <c r="G252" s="1"/>
    </row>
    <row r="253" spans="5:7" ht="14.25" customHeight="1" x14ac:dyDescent="0.25">
      <c r="E253" s="1"/>
      <c r="F253" s="1"/>
      <c r="G253" s="1"/>
    </row>
    <row r="254" spans="5:7" ht="14.25" customHeight="1" x14ac:dyDescent="0.25">
      <c r="E254" s="1"/>
      <c r="F254" s="1"/>
      <c r="G254" s="1"/>
    </row>
    <row r="255" spans="5:7" ht="14.25" customHeight="1" x14ac:dyDescent="0.25">
      <c r="E255" s="1"/>
      <c r="F255" s="1"/>
      <c r="G255" s="1"/>
    </row>
    <row r="256" spans="5:7" ht="14.25" customHeight="1" x14ac:dyDescent="0.25">
      <c r="E256" s="1"/>
      <c r="F256" s="1"/>
      <c r="G256" s="1"/>
    </row>
    <row r="257" spans="5:7" ht="14.25" customHeight="1" x14ac:dyDescent="0.25">
      <c r="E257" s="1"/>
      <c r="F257" s="1"/>
      <c r="G257" s="1"/>
    </row>
    <row r="258" spans="5:7" ht="14.25" customHeight="1" x14ac:dyDescent="0.25">
      <c r="E258" s="1"/>
      <c r="F258" s="1"/>
      <c r="G258" s="1"/>
    </row>
    <row r="259" spans="5:7" ht="14.25" customHeight="1" x14ac:dyDescent="0.25">
      <c r="E259" s="1"/>
      <c r="F259" s="1"/>
      <c r="G259" s="1"/>
    </row>
    <row r="260" spans="5:7" ht="14.25" customHeight="1" x14ac:dyDescent="0.25">
      <c r="E260" s="1"/>
      <c r="F260" s="1"/>
      <c r="G260" s="1"/>
    </row>
    <row r="261" spans="5:7" ht="14.25" customHeight="1" x14ac:dyDescent="0.25">
      <c r="E261" s="1"/>
      <c r="F261" s="1"/>
      <c r="G261" s="1"/>
    </row>
    <row r="262" spans="5:7" ht="14.25" customHeight="1" x14ac:dyDescent="0.25">
      <c r="E262" s="1"/>
      <c r="F262" s="1"/>
      <c r="G262" s="1"/>
    </row>
    <row r="263" spans="5:7" ht="14.25" customHeight="1" x14ac:dyDescent="0.25">
      <c r="E263" s="1"/>
      <c r="F263" s="1"/>
      <c r="G263" s="1"/>
    </row>
    <row r="264" spans="5:7" ht="14.25" customHeight="1" x14ac:dyDescent="0.25">
      <c r="E264" s="1"/>
      <c r="F264" s="1"/>
      <c r="G264" s="1"/>
    </row>
    <row r="265" spans="5:7" ht="14.25" customHeight="1" x14ac:dyDescent="0.25">
      <c r="E265" s="1"/>
      <c r="F265" s="1"/>
      <c r="G265" s="1"/>
    </row>
    <row r="266" spans="5:7" ht="14.25" customHeight="1" x14ac:dyDescent="0.25">
      <c r="E266" s="1"/>
      <c r="F266" s="1"/>
      <c r="G266" s="1"/>
    </row>
    <row r="267" spans="5:7" ht="14.25" customHeight="1" x14ac:dyDescent="0.25">
      <c r="E267" s="1"/>
      <c r="F267" s="1"/>
      <c r="G267" s="1"/>
    </row>
    <row r="268" spans="5:7" ht="14.25" customHeight="1" x14ac:dyDescent="0.25">
      <c r="E268" s="1"/>
      <c r="F268" s="1"/>
      <c r="G268" s="1"/>
    </row>
    <row r="269" spans="5:7" ht="14.25" customHeight="1" x14ac:dyDescent="0.25">
      <c r="E269" s="1"/>
      <c r="F269" s="1"/>
      <c r="G269" s="1"/>
    </row>
    <row r="270" spans="5:7" ht="14.25" customHeight="1" x14ac:dyDescent="0.25">
      <c r="E270" s="1"/>
      <c r="F270" s="1"/>
      <c r="G270" s="1"/>
    </row>
    <row r="271" spans="5:7" ht="14.25" customHeight="1" x14ac:dyDescent="0.25">
      <c r="E271" s="1"/>
      <c r="F271" s="1"/>
      <c r="G271" s="1"/>
    </row>
    <row r="272" spans="5:7" ht="14.25" customHeight="1" x14ac:dyDescent="0.25">
      <c r="E272" s="1"/>
      <c r="F272" s="1"/>
      <c r="G272" s="1"/>
    </row>
    <row r="273" spans="5:7" ht="14.25" customHeight="1" x14ac:dyDescent="0.25">
      <c r="E273" s="1"/>
      <c r="F273" s="1"/>
      <c r="G273" s="1"/>
    </row>
    <row r="274" spans="5:7" ht="14.25" customHeight="1" x14ac:dyDescent="0.25">
      <c r="E274" s="1"/>
      <c r="F274" s="1"/>
      <c r="G274" s="1"/>
    </row>
    <row r="275" spans="5:7" ht="14.25" customHeight="1" x14ac:dyDescent="0.25">
      <c r="E275" s="1"/>
      <c r="F275" s="1"/>
      <c r="G275" s="1"/>
    </row>
    <row r="276" spans="5:7" ht="14.25" customHeight="1" x14ac:dyDescent="0.25">
      <c r="E276" s="1"/>
      <c r="F276" s="1"/>
      <c r="G276" s="1"/>
    </row>
    <row r="277" spans="5:7" ht="14.25" customHeight="1" x14ac:dyDescent="0.25">
      <c r="E277" s="1"/>
      <c r="F277" s="1"/>
      <c r="G277" s="1"/>
    </row>
    <row r="278" spans="5:7" ht="14.25" customHeight="1" x14ac:dyDescent="0.25">
      <c r="E278" s="1"/>
      <c r="F278" s="1"/>
      <c r="G278" s="1"/>
    </row>
    <row r="279" spans="5:7" ht="14.25" customHeight="1" x14ac:dyDescent="0.25">
      <c r="E279" s="1"/>
      <c r="F279" s="1"/>
      <c r="G279" s="1"/>
    </row>
    <row r="280" spans="5:7" ht="14.25" customHeight="1" x14ac:dyDescent="0.25">
      <c r="E280" s="1"/>
      <c r="F280" s="1"/>
      <c r="G280" s="1"/>
    </row>
    <row r="281" spans="5:7" ht="14.25" customHeight="1" x14ac:dyDescent="0.25">
      <c r="E281" s="1"/>
      <c r="F281" s="1"/>
      <c r="G281" s="1"/>
    </row>
    <row r="282" spans="5:7" ht="14.25" customHeight="1" x14ac:dyDescent="0.25">
      <c r="E282" s="1"/>
      <c r="F282" s="1"/>
      <c r="G282" s="1"/>
    </row>
    <row r="283" spans="5:7" ht="14.25" customHeight="1" x14ac:dyDescent="0.25">
      <c r="E283" s="1"/>
      <c r="F283" s="1"/>
      <c r="G283" s="1"/>
    </row>
    <row r="284" spans="5:7" ht="14.25" customHeight="1" x14ac:dyDescent="0.25">
      <c r="E284" s="1"/>
      <c r="F284" s="1"/>
      <c r="G284" s="1"/>
    </row>
    <row r="285" spans="5:7" ht="14.25" customHeight="1" x14ac:dyDescent="0.25">
      <c r="E285" s="1"/>
      <c r="F285" s="1"/>
      <c r="G285" s="1"/>
    </row>
    <row r="286" spans="5:7" ht="14.25" customHeight="1" x14ac:dyDescent="0.25">
      <c r="E286" s="1"/>
      <c r="F286" s="1"/>
      <c r="G286" s="1"/>
    </row>
    <row r="287" spans="5:7" ht="14.25" customHeight="1" x14ac:dyDescent="0.25">
      <c r="E287" s="1"/>
      <c r="F287" s="1"/>
      <c r="G287" s="1"/>
    </row>
    <row r="288" spans="5:7" ht="14.25" customHeight="1" x14ac:dyDescent="0.25">
      <c r="E288" s="1"/>
      <c r="F288" s="1"/>
      <c r="G288" s="1"/>
    </row>
    <row r="289" spans="5:7" ht="14.25" customHeight="1" x14ac:dyDescent="0.25">
      <c r="E289" s="1"/>
      <c r="F289" s="1"/>
      <c r="G289" s="1"/>
    </row>
    <row r="290" spans="5:7" ht="14.25" customHeight="1" x14ac:dyDescent="0.25">
      <c r="E290" s="1"/>
      <c r="F290" s="1"/>
      <c r="G290" s="1"/>
    </row>
    <row r="291" spans="5:7" ht="14.25" customHeight="1" x14ac:dyDescent="0.25">
      <c r="E291" s="1"/>
      <c r="F291" s="1"/>
      <c r="G291" s="1"/>
    </row>
    <row r="292" spans="5:7" ht="14.25" customHeight="1" x14ac:dyDescent="0.25">
      <c r="E292" s="1"/>
      <c r="F292" s="1"/>
      <c r="G292" s="1"/>
    </row>
    <row r="293" spans="5:7" ht="14.25" customHeight="1" x14ac:dyDescent="0.25">
      <c r="E293" s="1"/>
      <c r="F293" s="1"/>
      <c r="G293" s="1"/>
    </row>
    <row r="294" spans="5:7" ht="14.25" customHeight="1" x14ac:dyDescent="0.25">
      <c r="E294" s="1"/>
      <c r="F294" s="1"/>
      <c r="G294" s="1"/>
    </row>
    <row r="295" spans="5:7" ht="14.25" customHeight="1" x14ac:dyDescent="0.25">
      <c r="E295" s="1"/>
      <c r="F295" s="1"/>
      <c r="G295" s="1"/>
    </row>
    <row r="296" spans="5:7" ht="14.25" customHeight="1" x14ac:dyDescent="0.25">
      <c r="E296" s="1"/>
      <c r="F296" s="1"/>
      <c r="G296" s="1"/>
    </row>
    <row r="297" spans="5:7" ht="14.25" customHeight="1" x14ac:dyDescent="0.25">
      <c r="E297" s="1"/>
      <c r="F297" s="1"/>
      <c r="G297" s="1"/>
    </row>
    <row r="298" spans="5:7" ht="14.25" customHeight="1" x14ac:dyDescent="0.25">
      <c r="E298" s="1"/>
      <c r="F298" s="1"/>
      <c r="G298" s="1"/>
    </row>
    <row r="299" spans="5:7" ht="14.25" customHeight="1" x14ac:dyDescent="0.25">
      <c r="E299" s="1"/>
      <c r="F299" s="1"/>
      <c r="G299" s="1"/>
    </row>
    <row r="300" spans="5:7" ht="14.25" customHeight="1" x14ac:dyDescent="0.25">
      <c r="E300" s="1"/>
      <c r="F300" s="1"/>
      <c r="G300" s="1"/>
    </row>
    <row r="301" spans="5:7" ht="14.25" customHeight="1" x14ac:dyDescent="0.25">
      <c r="E301" s="1"/>
      <c r="F301" s="1"/>
      <c r="G301" s="1"/>
    </row>
    <row r="302" spans="5:7" ht="14.25" customHeight="1" x14ac:dyDescent="0.25">
      <c r="E302" s="1"/>
      <c r="F302" s="1"/>
      <c r="G302" s="1"/>
    </row>
    <row r="303" spans="5:7" ht="14.25" customHeight="1" x14ac:dyDescent="0.25">
      <c r="E303" s="1"/>
      <c r="F303" s="1"/>
      <c r="G303" s="1"/>
    </row>
    <row r="304" spans="5:7" ht="14.25" customHeight="1" x14ac:dyDescent="0.25">
      <c r="E304" s="1"/>
      <c r="F304" s="1"/>
      <c r="G304" s="1"/>
    </row>
    <row r="305" spans="5:7" ht="14.25" customHeight="1" x14ac:dyDescent="0.25">
      <c r="E305" s="1"/>
      <c r="F305" s="1"/>
      <c r="G305" s="1"/>
    </row>
    <row r="306" spans="5:7" ht="14.25" customHeight="1" x14ac:dyDescent="0.25">
      <c r="E306" s="1"/>
      <c r="F306" s="1"/>
      <c r="G306" s="1"/>
    </row>
    <row r="307" spans="5:7" ht="14.25" customHeight="1" x14ac:dyDescent="0.25">
      <c r="E307" s="1"/>
      <c r="F307" s="1"/>
      <c r="G307" s="1"/>
    </row>
    <row r="308" spans="5:7" ht="14.25" customHeight="1" x14ac:dyDescent="0.25">
      <c r="E308" s="1"/>
      <c r="F308" s="1"/>
      <c r="G308" s="1"/>
    </row>
    <row r="309" spans="5:7" ht="14.25" customHeight="1" x14ac:dyDescent="0.25">
      <c r="E309" s="1"/>
      <c r="F309" s="1"/>
      <c r="G309" s="1"/>
    </row>
    <row r="310" spans="5:7" ht="14.25" customHeight="1" x14ac:dyDescent="0.25">
      <c r="E310" s="1"/>
      <c r="F310" s="1"/>
      <c r="G310" s="1"/>
    </row>
    <row r="311" spans="5:7" ht="14.25" customHeight="1" x14ac:dyDescent="0.25">
      <c r="E311" s="1"/>
      <c r="F311" s="1"/>
      <c r="G311" s="1"/>
    </row>
    <row r="312" spans="5:7" ht="14.25" customHeight="1" x14ac:dyDescent="0.25">
      <c r="E312" s="1"/>
      <c r="F312" s="1"/>
      <c r="G312" s="1"/>
    </row>
    <row r="313" spans="5:7" ht="14.25" customHeight="1" x14ac:dyDescent="0.25">
      <c r="E313" s="1"/>
      <c r="F313" s="1"/>
      <c r="G313" s="1"/>
    </row>
    <row r="314" spans="5:7" ht="14.25" customHeight="1" x14ac:dyDescent="0.25">
      <c r="E314" s="1"/>
      <c r="F314" s="1"/>
      <c r="G314" s="1"/>
    </row>
    <row r="315" spans="5:7" ht="14.25" customHeight="1" x14ac:dyDescent="0.25">
      <c r="E315" s="1"/>
      <c r="F315" s="1"/>
      <c r="G315" s="1"/>
    </row>
    <row r="316" spans="5:7" ht="14.25" customHeight="1" x14ac:dyDescent="0.25">
      <c r="E316" s="1"/>
      <c r="F316" s="1"/>
      <c r="G316" s="1"/>
    </row>
    <row r="317" spans="5:7" ht="14.25" customHeight="1" x14ac:dyDescent="0.25">
      <c r="E317" s="1"/>
      <c r="F317" s="1"/>
      <c r="G317" s="1"/>
    </row>
    <row r="318" spans="5:7" ht="14.25" customHeight="1" x14ac:dyDescent="0.25">
      <c r="E318" s="1"/>
      <c r="F318" s="1"/>
      <c r="G318" s="1"/>
    </row>
    <row r="319" spans="5:7" ht="14.25" customHeight="1" x14ac:dyDescent="0.25">
      <c r="E319" s="1"/>
      <c r="F319" s="1"/>
      <c r="G319" s="1"/>
    </row>
    <row r="320" spans="5:7" ht="14.25" customHeight="1" x14ac:dyDescent="0.25">
      <c r="E320" s="1"/>
      <c r="F320" s="1"/>
      <c r="G320" s="1"/>
    </row>
    <row r="321" spans="5:7" ht="14.25" customHeight="1" x14ac:dyDescent="0.25">
      <c r="E321" s="1"/>
      <c r="F321" s="1"/>
      <c r="G321" s="1"/>
    </row>
    <row r="322" spans="5:7" ht="14.25" customHeight="1" x14ac:dyDescent="0.25">
      <c r="E322" s="1"/>
      <c r="F322" s="1"/>
      <c r="G322" s="1"/>
    </row>
    <row r="323" spans="5:7" ht="14.25" customHeight="1" x14ac:dyDescent="0.25">
      <c r="E323" s="1"/>
      <c r="F323" s="1"/>
      <c r="G323" s="1"/>
    </row>
    <row r="324" spans="5:7" ht="14.25" customHeight="1" x14ac:dyDescent="0.25">
      <c r="E324" s="1"/>
      <c r="F324" s="1"/>
      <c r="G324" s="1"/>
    </row>
    <row r="325" spans="5:7" ht="14.25" customHeight="1" x14ac:dyDescent="0.25">
      <c r="E325" s="1"/>
      <c r="F325" s="1"/>
      <c r="G325" s="1"/>
    </row>
    <row r="326" spans="5:7" ht="14.25" customHeight="1" x14ac:dyDescent="0.25">
      <c r="E326" s="1"/>
      <c r="F326" s="1"/>
      <c r="G326" s="1"/>
    </row>
    <row r="327" spans="5:7" ht="14.25" customHeight="1" x14ac:dyDescent="0.25">
      <c r="E327" s="1"/>
      <c r="F327" s="1"/>
      <c r="G327" s="1"/>
    </row>
    <row r="328" spans="5:7" ht="14.25" customHeight="1" x14ac:dyDescent="0.25">
      <c r="E328" s="1"/>
      <c r="F328" s="1"/>
      <c r="G328" s="1"/>
    </row>
    <row r="329" spans="5:7" ht="14.25" customHeight="1" x14ac:dyDescent="0.25">
      <c r="E329" s="1"/>
      <c r="F329" s="1"/>
      <c r="G329" s="1"/>
    </row>
    <row r="330" spans="5:7" ht="14.25" customHeight="1" x14ac:dyDescent="0.25">
      <c r="E330" s="1"/>
      <c r="F330" s="1"/>
      <c r="G330" s="1"/>
    </row>
    <row r="331" spans="5:7" ht="14.25" customHeight="1" x14ac:dyDescent="0.25">
      <c r="E331" s="1"/>
      <c r="F331" s="1"/>
      <c r="G331" s="1"/>
    </row>
    <row r="332" spans="5:7" ht="14.25" customHeight="1" x14ac:dyDescent="0.25">
      <c r="E332" s="1"/>
      <c r="F332" s="1"/>
      <c r="G332" s="1"/>
    </row>
    <row r="333" spans="5:7" ht="14.25" customHeight="1" x14ac:dyDescent="0.25">
      <c r="E333" s="1"/>
      <c r="F333" s="1"/>
      <c r="G333" s="1"/>
    </row>
    <row r="334" spans="5:7" ht="14.25" customHeight="1" x14ac:dyDescent="0.25">
      <c r="E334" s="1"/>
      <c r="F334" s="1"/>
      <c r="G334" s="1"/>
    </row>
    <row r="335" spans="5:7" ht="14.25" customHeight="1" x14ac:dyDescent="0.25">
      <c r="E335" s="1"/>
      <c r="F335" s="1"/>
      <c r="G335" s="1"/>
    </row>
    <row r="336" spans="5:7" ht="14.25" customHeight="1" x14ac:dyDescent="0.25">
      <c r="E336" s="1"/>
      <c r="F336" s="1"/>
      <c r="G336" s="1"/>
    </row>
    <row r="337" spans="5:7" ht="14.25" customHeight="1" x14ac:dyDescent="0.25">
      <c r="E337" s="1"/>
      <c r="F337" s="1"/>
      <c r="G337" s="1"/>
    </row>
    <row r="338" spans="5:7" ht="14.25" customHeight="1" x14ac:dyDescent="0.25">
      <c r="E338" s="1"/>
      <c r="F338" s="1"/>
      <c r="G338" s="1"/>
    </row>
    <row r="339" spans="5:7" ht="14.25" customHeight="1" x14ac:dyDescent="0.25">
      <c r="E339" s="1"/>
      <c r="F339" s="1"/>
      <c r="G339" s="1"/>
    </row>
    <row r="340" spans="5:7" ht="14.25" customHeight="1" x14ac:dyDescent="0.25">
      <c r="E340" s="1"/>
      <c r="F340" s="1"/>
      <c r="G340" s="1"/>
    </row>
    <row r="341" spans="5:7" ht="14.25" customHeight="1" x14ac:dyDescent="0.25">
      <c r="E341" s="1"/>
      <c r="F341" s="1"/>
      <c r="G341" s="1"/>
    </row>
    <row r="342" spans="5:7" ht="14.25" customHeight="1" x14ac:dyDescent="0.25">
      <c r="E342" s="1"/>
      <c r="F342" s="1"/>
      <c r="G342" s="1"/>
    </row>
    <row r="343" spans="5:7" ht="14.25" customHeight="1" x14ac:dyDescent="0.25">
      <c r="E343" s="1"/>
      <c r="F343" s="1"/>
      <c r="G343" s="1"/>
    </row>
    <row r="344" spans="5:7" ht="14.25" customHeight="1" x14ac:dyDescent="0.25">
      <c r="E344" s="1"/>
      <c r="F344" s="1"/>
      <c r="G344" s="1"/>
    </row>
    <row r="345" spans="5:7" ht="14.25" customHeight="1" x14ac:dyDescent="0.25">
      <c r="E345" s="1"/>
      <c r="F345" s="1"/>
      <c r="G345" s="1"/>
    </row>
    <row r="346" spans="5:7" ht="14.25" customHeight="1" x14ac:dyDescent="0.25">
      <c r="E346" s="1"/>
      <c r="F346" s="1"/>
      <c r="G346" s="1"/>
    </row>
    <row r="347" spans="5:7" ht="14.25" customHeight="1" x14ac:dyDescent="0.25">
      <c r="E347" s="1"/>
      <c r="F347" s="1"/>
      <c r="G347" s="1"/>
    </row>
    <row r="348" spans="5:7" ht="14.25" customHeight="1" x14ac:dyDescent="0.25">
      <c r="E348" s="1"/>
      <c r="F348" s="1"/>
      <c r="G348" s="1"/>
    </row>
    <row r="349" spans="5:7" ht="14.25" customHeight="1" x14ac:dyDescent="0.25">
      <c r="E349" s="1"/>
      <c r="F349" s="1"/>
      <c r="G349" s="1"/>
    </row>
    <row r="350" spans="5:7" ht="14.25" customHeight="1" x14ac:dyDescent="0.25">
      <c r="E350" s="1"/>
      <c r="F350" s="1"/>
      <c r="G350" s="1"/>
    </row>
    <row r="351" spans="5:7" ht="14.25" customHeight="1" x14ac:dyDescent="0.25">
      <c r="E351" s="1"/>
      <c r="F351" s="1"/>
      <c r="G351" s="1"/>
    </row>
    <row r="352" spans="5:7" ht="14.25" customHeight="1" x14ac:dyDescent="0.25">
      <c r="E352" s="1"/>
      <c r="F352" s="1"/>
      <c r="G352" s="1"/>
    </row>
    <row r="353" spans="5:7" ht="14.25" customHeight="1" x14ac:dyDescent="0.25">
      <c r="E353" s="1"/>
      <c r="F353" s="1"/>
      <c r="G353" s="1"/>
    </row>
    <row r="354" spans="5:7" ht="14.25" customHeight="1" x14ac:dyDescent="0.25">
      <c r="E354" s="1"/>
      <c r="F354" s="1"/>
      <c r="G354" s="1"/>
    </row>
    <row r="355" spans="5:7" ht="14.25" customHeight="1" x14ac:dyDescent="0.25">
      <c r="E355" s="1"/>
      <c r="F355" s="1"/>
      <c r="G355" s="1"/>
    </row>
    <row r="356" spans="5:7" ht="14.25" customHeight="1" x14ac:dyDescent="0.25">
      <c r="E356" s="1"/>
      <c r="F356" s="1"/>
      <c r="G356" s="1"/>
    </row>
    <row r="357" spans="5:7" ht="14.25" customHeight="1" x14ac:dyDescent="0.25">
      <c r="E357" s="1"/>
      <c r="F357" s="1"/>
      <c r="G357" s="1"/>
    </row>
    <row r="358" spans="5:7" ht="14.25" customHeight="1" x14ac:dyDescent="0.25">
      <c r="E358" s="1"/>
      <c r="F358" s="1"/>
      <c r="G358" s="1"/>
    </row>
    <row r="359" spans="5:7" ht="14.25" customHeight="1" x14ac:dyDescent="0.25">
      <c r="E359" s="1"/>
      <c r="F359" s="1"/>
      <c r="G359" s="1"/>
    </row>
    <row r="360" spans="5:7" ht="14.25" customHeight="1" x14ac:dyDescent="0.25">
      <c r="E360" s="1"/>
      <c r="F360" s="1"/>
      <c r="G360" s="1"/>
    </row>
    <row r="361" spans="5:7" ht="14.25" customHeight="1" x14ac:dyDescent="0.25">
      <c r="E361" s="1"/>
      <c r="F361" s="1"/>
      <c r="G361" s="1"/>
    </row>
    <row r="362" spans="5:7" ht="14.25" customHeight="1" x14ac:dyDescent="0.25">
      <c r="E362" s="1"/>
      <c r="F362" s="1"/>
      <c r="G362" s="1"/>
    </row>
    <row r="363" spans="5:7" ht="14.25" customHeight="1" x14ac:dyDescent="0.25">
      <c r="E363" s="1"/>
      <c r="F363" s="1"/>
      <c r="G363" s="1"/>
    </row>
    <row r="364" spans="5:7" ht="14.25" customHeight="1" x14ac:dyDescent="0.25">
      <c r="E364" s="1"/>
      <c r="F364" s="1"/>
      <c r="G364" s="1"/>
    </row>
    <row r="365" spans="5:7" ht="14.25" customHeight="1" x14ac:dyDescent="0.25">
      <c r="E365" s="1"/>
      <c r="F365" s="1"/>
      <c r="G365" s="1"/>
    </row>
    <row r="366" spans="5:7" ht="14.25" customHeight="1" x14ac:dyDescent="0.25">
      <c r="E366" s="1"/>
      <c r="F366" s="1"/>
      <c r="G366" s="1"/>
    </row>
    <row r="367" spans="5:7" ht="14.25" customHeight="1" x14ac:dyDescent="0.25">
      <c r="E367" s="1"/>
      <c r="F367" s="1"/>
      <c r="G367" s="1"/>
    </row>
    <row r="368" spans="5:7" ht="14.25" customHeight="1" x14ac:dyDescent="0.25">
      <c r="E368" s="1"/>
      <c r="F368" s="1"/>
      <c r="G368" s="1"/>
    </row>
    <row r="369" spans="5:7" ht="14.25" customHeight="1" x14ac:dyDescent="0.25">
      <c r="E369" s="1"/>
      <c r="F369" s="1"/>
      <c r="G369" s="1"/>
    </row>
    <row r="370" spans="5:7" ht="14.25" customHeight="1" x14ac:dyDescent="0.25">
      <c r="E370" s="1"/>
      <c r="F370" s="1"/>
      <c r="G370" s="1"/>
    </row>
    <row r="371" spans="5:7" ht="14.25" customHeight="1" x14ac:dyDescent="0.25">
      <c r="E371" s="1"/>
      <c r="F371" s="1"/>
      <c r="G371" s="1"/>
    </row>
    <row r="372" spans="5:7" ht="14.25" customHeight="1" x14ac:dyDescent="0.25">
      <c r="E372" s="1"/>
      <c r="F372" s="1"/>
      <c r="G372" s="1"/>
    </row>
    <row r="373" spans="5:7" ht="14.25" customHeight="1" x14ac:dyDescent="0.25">
      <c r="E373" s="1"/>
      <c r="F373" s="1"/>
      <c r="G373" s="1"/>
    </row>
    <row r="374" spans="5:7" ht="14.25" customHeight="1" x14ac:dyDescent="0.25">
      <c r="E374" s="1"/>
      <c r="F374" s="1"/>
      <c r="G374" s="1"/>
    </row>
    <row r="375" spans="5:7" ht="14.25" customHeight="1" x14ac:dyDescent="0.25">
      <c r="E375" s="1"/>
      <c r="F375" s="1"/>
      <c r="G375" s="1"/>
    </row>
    <row r="376" spans="5:7" ht="14.25" customHeight="1" x14ac:dyDescent="0.25">
      <c r="E376" s="1"/>
      <c r="F376" s="1"/>
      <c r="G376" s="1"/>
    </row>
    <row r="377" spans="5:7" ht="14.25" customHeight="1" x14ac:dyDescent="0.25">
      <c r="E377" s="1"/>
      <c r="F377" s="1"/>
      <c r="G377" s="1"/>
    </row>
    <row r="378" spans="5:7" ht="14.25" customHeight="1" x14ac:dyDescent="0.25">
      <c r="E378" s="1"/>
      <c r="F378" s="1"/>
      <c r="G378" s="1"/>
    </row>
    <row r="379" spans="5:7" ht="14.25" customHeight="1" x14ac:dyDescent="0.25">
      <c r="E379" s="1"/>
      <c r="F379" s="1"/>
      <c r="G379" s="1"/>
    </row>
    <row r="380" spans="5:7" ht="14.25" customHeight="1" x14ac:dyDescent="0.25">
      <c r="E380" s="1"/>
      <c r="F380" s="1"/>
      <c r="G380" s="1"/>
    </row>
    <row r="381" spans="5:7" ht="14.25" customHeight="1" x14ac:dyDescent="0.25">
      <c r="E381" s="1"/>
      <c r="F381" s="1"/>
      <c r="G381" s="1"/>
    </row>
    <row r="382" spans="5:7" ht="14.25" customHeight="1" x14ac:dyDescent="0.25">
      <c r="E382" s="1"/>
      <c r="F382" s="1"/>
      <c r="G382" s="1"/>
    </row>
    <row r="383" spans="5:7" ht="14.25" customHeight="1" x14ac:dyDescent="0.25">
      <c r="E383" s="1"/>
      <c r="F383" s="1"/>
      <c r="G383" s="1"/>
    </row>
    <row r="384" spans="5:7" ht="14.25" customHeight="1" x14ac:dyDescent="0.25">
      <c r="E384" s="1"/>
      <c r="F384" s="1"/>
      <c r="G384" s="1"/>
    </row>
    <row r="385" spans="5:7" ht="14.25" customHeight="1" x14ac:dyDescent="0.25">
      <c r="E385" s="1"/>
      <c r="F385" s="1"/>
      <c r="G385" s="1"/>
    </row>
    <row r="386" spans="5:7" ht="14.25" customHeight="1" x14ac:dyDescent="0.25">
      <c r="E386" s="1"/>
      <c r="F386" s="1"/>
      <c r="G386" s="1"/>
    </row>
    <row r="387" spans="5:7" ht="14.25" customHeight="1" x14ac:dyDescent="0.25">
      <c r="E387" s="1"/>
      <c r="F387" s="1"/>
      <c r="G387" s="1"/>
    </row>
    <row r="388" spans="5:7" ht="14.25" customHeight="1" x14ac:dyDescent="0.25">
      <c r="E388" s="1"/>
      <c r="F388" s="1"/>
      <c r="G388" s="1"/>
    </row>
    <row r="389" spans="5:7" ht="14.25" customHeight="1" x14ac:dyDescent="0.25">
      <c r="E389" s="1"/>
      <c r="F389" s="1"/>
      <c r="G389" s="1"/>
    </row>
    <row r="390" spans="5:7" ht="14.25" customHeight="1" x14ac:dyDescent="0.25">
      <c r="E390" s="1"/>
      <c r="F390" s="1"/>
      <c r="G390" s="1"/>
    </row>
    <row r="391" spans="5:7" ht="14.25" customHeight="1" x14ac:dyDescent="0.25">
      <c r="E391" s="1"/>
      <c r="F391" s="1"/>
      <c r="G391" s="1"/>
    </row>
    <row r="392" spans="5:7" ht="14.25" customHeight="1" x14ac:dyDescent="0.25">
      <c r="E392" s="1"/>
      <c r="F392" s="1"/>
      <c r="G392" s="1"/>
    </row>
    <row r="393" spans="5:7" ht="14.25" customHeight="1" x14ac:dyDescent="0.25">
      <c r="E393" s="1"/>
      <c r="F393" s="1"/>
      <c r="G393" s="1"/>
    </row>
    <row r="394" spans="5:7" ht="14.25" customHeight="1" x14ac:dyDescent="0.25">
      <c r="E394" s="1"/>
      <c r="F394" s="1"/>
      <c r="G394" s="1"/>
    </row>
    <row r="395" spans="5:7" ht="14.25" customHeight="1" x14ac:dyDescent="0.25">
      <c r="E395" s="1"/>
      <c r="F395" s="1"/>
      <c r="G395" s="1"/>
    </row>
    <row r="396" spans="5:7" ht="14.25" customHeight="1" x14ac:dyDescent="0.25">
      <c r="E396" s="1"/>
      <c r="F396" s="1"/>
      <c r="G396" s="1"/>
    </row>
    <row r="397" spans="5:7" ht="14.25" customHeight="1" x14ac:dyDescent="0.25">
      <c r="E397" s="1"/>
      <c r="F397" s="1"/>
      <c r="G397" s="1"/>
    </row>
    <row r="398" spans="5:7" ht="14.25" customHeight="1" x14ac:dyDescent="0.25">
      <c r="E398" s="1"/>
      <c r="F398" s="1"/>
      <c r="G398" s="1"/>
    </row>
    <row r="399" spans="5:7" ht="14.25" customHeight="1" x14ac:dyDescent="0.25">
      <c r="E399" s="1"/>
      <c r="F399" s="1"/>
      <c r="G399" s="1"/>
    </row>
    <row r="400" spans="5:7" ht="14.25" customHeight="1" x14ac:dyDescent="0.25">
      <c r="E400" s="1"/>
      <c r="F400" s="1"/>
      <c r="G400" s="1"/>
    </row>
    <row r="401" spans="5:7" ht="14.25" customHeight="1" x14ac:dyDescent="0.25">
      <c r="E401" s="1"/>
      <c r="F401" s="1"/>
      <c r="G401" s="1"/>
    </row>
    <row r="402" spans="5:7" ht="14.25" customHeight="1" x14ac:dyDescent="0.25">
      <c r="E402" s="1"/>
      <c r="F402" s="1"/>
      <c r="G402" s="1"/>
    </row>
    <row r="403" spans="5:7" ht="14.25" customHeight="1" x14ac:dyDescent="0.25">
      <c r="E403" s="1"/>
      <c r="F403" s="1"/>
      <c r="G403" s="1"/>
    </row>
    <row r="404" spans="5:7" ht="14.25" customHeight="1" x14ac:dyDescent="0.25">
      <c r="E404" s="1"/>
      <c r="F404" s="1"/>
      <c r="G404" s="1"/>
    </row>
    <row r="405" spans="5:7" ht="14.25" customHeight="1" x14ac:dyDescent="0.25">
      <c r="E405" s="1"/>
      <c r="F405" s="1"/>
      <c r="G405" s="1"/>
    </row>
    <row r="406" spans="5:7" ht="14.25" customHeight="1" x14ac:dyDescent="0.25">
      <c r="E406" s="1"/>
      <c r="F406" s="1"/>
      <c r="G406" s="1"/>
    </row>
    <row r="407" spans="5:7" ht="14.25" customHeight="1" x14ac:dyDescent="0.25">
      <c r="E407" s="1"/>
      <c r="F407" s="1"/>
      <c r="G407" s="1"/>
    </row>
    <row r="408" spans="5:7" ht="14.25" customHeight="1" x14ac:dyDescent="0.25">
      <c r="E408" s="1"/>
      <c r="F408" s="1"/>
      <c r="G408" s="1"/>
    </row>
    <row r="409" spans="5:7" ht="14.25" customHeight="1" x14ac:dyDescent="0.25">
      <c r="E409" s="1"/>
      <c r="F409" s="1"/>
      <c r="G409" s="1"/>
    </row>
    <row r="410" spans="5:7" ht="14.25" customHeight="1" x14ac:dyDescent="0.25">
      <c r="E410" s="1"/>
      <c r="F410" s="1"/>
      <c r="G410" s="1"/>
    </row>
    <row r="411" spans="5:7" ht="14.25" customHeight="1" x14ac:dyDescent="0.25">
      <c r="E411" s="1"/>
      <c r="F411" s="1"/>
      <c r="G411" s="1"/>
    </row>
    <row r="412" spans="5:7" ht="14.25" customHeight="1" x14ac:dyDescent="0.25">
      <c r="E412" s="1"/>
      <c r="F412" s="1"/>
      <c r="G412" s="1"/>
    </row>
    <row r="413" spans="5:7" ht="14.25" customHeight="1" x14ac:dyDescent="0.25">
      <c r="E413" s="1"/>
      <c r="F413" s="1"/>
      <c r="G413" s="1"/>
    </row>
    <row r="414" spans="5:7" ht="14.25" customHeight="1" x14ac:dyDescent="0.25">
      <c r="E414" s="1"/>
      <c r="F414" s="1"/>
      <c r="G414" s="1"/>
    </row>
    <row r="415" spans="5:7" ht="14.25" customHeight="1" x14ac:dyDescent="0.25">
      <c r="E415" s="1"/>
      <c r="F415" s="1"/>
      <c r="G415" s="1"/>
    </row>
    <row r="416" spans="5:7" ht="14.25" customHeight="1" x14ac:dyDescent="0.25">
      <c r="E416" s="1"/>
      <c r="F416" s="1"/>
      <c r="G416" s="1"/>
    </row>
    <row r="417" spans="5:7" ht="14.25" customHeight="1" x14ac:dyDescent="0.25">
      <c r="E417" s="1"/>
      <c r="F417" s="1"/>
      <c r="G417" s="1"/>
    </row>
    <row r="418" spans="5:7" ht="14.25" customHeight="1" x14ac:dyDescent="0.25">
      <c r="E418" s="1"/>
      <c r="F418" s="1"/>
      <c r="G418" s="1"/>
    </row>
    <row r="419" spans="5:7" ht="14.25" customHeight="1" x14ac:dyDescent="0.25">
      <c r="E419" s="1"/>
      <c r="F419" s="1"/>
      <c r="G419" s="1"/>
    </row>
    <row r="420" spans="5:7" ht="14.25" customHeight="1" x14ac:dyDescent="0.25">
      <c r="E420" s="1"/>
      <c r="F420" s="1"/>
      <c r="G420" s="1"/>
    </row>
    <row r="421" spans="5:7" ht="14.25" customHeight="1" x14ac:dyDescent="0.25">
      <c r="E421" s="1"/>
      <c r="F421" s="1"/>
      <c r="G421" s="1"/>
    </row>
    <row r="422" spans="5:7" ht="14.25" customHeight="1" x14ac:dyDescent="0.25">
      <c r="E422" s="1"/>
      <c r="F422" s="1"/>
      <c r="G422" s="1"/>
    </row>
    <row r="423" spans="5:7" ht="14.25" customHeight="1" x14ac:dyDescent="0.25">
      <c r="E423" s="1"/>
      <c r="F423" s="1"/>
      <c r="G423" s="1"/>
    </row>
    <row r="424" spans="5:7" ht="14.25" customHeight="1" x14ac:dyDescent="0.25">
      <c r="E424" s="1"/>
      <c r="F424" s="1"/>
      <c r="G424" s="1"/>
    </row>
    <row r="425" spans="5:7" ht="14.25" customHeight="1" x14ac:dyDescent="0.25">
      <c r="E425" s="1"/>
      <c r="F425" s="1"/>
      <c r="G425" s="1"/>
    </row>
    <row r="426" spans="5:7" ht="14.25" customHeight="1" x14ac:dyDescent="0.25">
      <c r="E426" s="1"/>
      <c r="F426" s="1"/>
      <c r="G426" s="1"/>
    </row>
    <row r="427" spans="5:7" ht="14.25" customHeight="1" x14ac:dyDescent="0.25">
      <c r="E427" s="1"/>
      <c r="F427" s="1"/>
      <c r="G427" s="1"/>
    </row>
    <row r="428" spans="5:7" ht="14.25" customHeight="1" x14ac:dyDescent="0.25">
      <c r="E428" s="1"/>
      <c r="F428" s="1"/>
      <c r="G428" s="1"/>
    </row>
    <row r="429" spans="5:7" ht="14.25" customHeight="1" x14ac:dyDescent="0.25">
      <c r="E429" s="1"/>
      <c r="F429" s="1"/>
      <c r="G429" s="1"/>
    </row>
    <row r="430" spans="5:7" ht="14.25" customHeight="1" x14ac:dyDescent="0.25">
      <c r="E430" s="1"/>
      <c r="F430" s="1"/>
      <c r="G430" s="1"/>
    </row>
    <row r="431" spans="5:7" ht="14.25" customHeight="1" x14ac:dyDescent="0.25">
      <c r="E431" s="1"/>
      <c r="F431" s="1"/>
      <c r="G431" s="1"/>
    </row>
    <row r="432" spans="5:7" ht="14.25" customHeight="1" x14ac:dyDescent="0.25">
      <c r="E432" s="1"/>
      <c r="F432" s="1"/>
      <c r="G432" s="1"/>
    </row>
    <row r="433" spans="5:7" ht="14.25" customHeight="1" x14ac:dyDescent="0.25">
      <c r="E433" s="1"/>
      <c r="F433" s="1"/>
      <c r="G433" s="1"/>
    </row>
    <row r="434" spans="5:7" ht="14.25" customHeight="1" x14ac:dyDescent="0.25">
      <c r="E434" s="1"/>
      <c r="F434" s="1"/>
      <c r="G434" s="1"/>
    </row>
    <row r="435" spans="5:7" ht="14.25" customHeight="1" x14ac:dyDescent="0.25">
      <c r="E435" s="1"/>
      <c r="F435" s="1"/>
      <c r="G435" s="1"/>
    </row>
    <row r="436" spans="5:7" ht="14.25" customHeight="1" x14ac:dyDescent="0.25">
      <c r="E436" s="1"/>
      <c r="F436" s="1"/>
      <c r="G436" s="1"/>
    </row>
    <row r="437" spans="5:7" ht="14.25" customHeight="1" x14ac:dyDescent="0.25">
      <c r="E437" s="1"/>
      <c r="F437" s="1"/>
      <c r="G437" s="1"/>
    </row>
    <row r="438" spans="5:7" ht="14.25" customHeight="1" x14ac:dyDescent="0.25">
      <c r="E438" s="1"/>
      <c r="F438" s="1"/>
      <c r="G438" s="1"/>
    </row>
    <row r="439" spans="5:7" ht="14.25" customHeight="1" x14ac:dyDescent="0.25">
      <c r="E439" s="1"/>
      <c r="F439" s="1"/>
      <c r="G439" s="1"/>
    </row>
    <row r="440" spans="5:7" ht="14.25" customHeight="1" x14ac:dyDescent="0.25">
      <c r="E440" s="1"/>
      <c r="F440" s="1"/>
      <c r="G440" s="1"/>
    </row>
    <row r="441" spans="5:7" ht="14.25" customHeight="1" x14ac:dyDescent="0.25">
      <c r="E441" s="1"/>
      <c r="F441" s="1"/>
      <c r="G441" s="1"/>
    </row>
    <row r="442" spans="5:7" ht="14.25" customHeight="1" x14ac:dyDescent="0.25">
      <c r="E442" s="1"/>
      <c r="F442" s="1"/>
      <c r="G442" s="1"/>
    </row>
    <row r="443" spans="5:7" ht="14.25" customHeight="1" x14ac:dyDescent="0.25">
      <c r="E443" s="1"/>
      <c r="F443" s="1"/>
      <c r="G443" s="1"/>
    </row>
    <row r="444" spans="5:7" ht="14.25" customHeight="1" x14ac:dyDescent="0.25">
      <c r="E444" s="1"/>
      <c r="F444" s="1"/>
      <c r="G444" s="1"/>
    </row>
    <row r="445" spans="5:7" ht="14.25" customHeight="1" x14ac:dyDescent="0.25">
      <c r="E445" s="1"/>
      <c r="F445" s="1"/>
      <c r="G445" s="1"/>
    </row>
    <row r="446" spans="5:7" ht="14.25" customHeight="1" x14ac:dyDescent="0.25">
      <c r="E446" s="1"/>
      <c r="F446" s="1"/>
      <c r="G446" s="1"/>
    </row>
    <row r="447" spans="5:7" ht="14.25" customHeight="1" x14ac:dyDescent="0.25">
      <c r="E447" s="1"/>
      <c r="F447" s="1"/>
      <c r="G447" s="1"/>
    </row>
    <row r="448" spans="5:7" ht="14.25" customHeight="1" x14ac:dyDescent="0.25">
      <c r="E448" s="1"/>
      <c r="F448" s="1"/>
      <c r="G448" s="1"/>
    </row>
    <row r="449" spans="5:7" ht="14.25" customHeight="1" x14ac:dyDescent="0.25">
      <c r="E449" s="1"/>
      <c r="F449" s="1"/>
      <c r="G449" s="1"/>
    </row>
    <row r="450" spans="5:7" ht="14.25" customHeight="1" x14ac:dyDescent="0.25">
      <c r="E450" s="1"/>
      <c r="F450" s="1"/>
      <c r="G450" s="1"/>
    </row>
    <row r="451" spans="5:7" ht="14.25" customHeight="1" x14ac:dyDescent="0.25">
      <c r="E451" s="1"/>
      <c r="F451" s="1"/>
      <c r="G451" s="1"/>
    </row>
    <row r="452" spans="5:7" ht="14.25" customHeight="1" x14ac:dyDescent="0.25">
      <c r="E452" s="1"/>
      <c r="F452" s="1"/>
      <c r="G452" s="1"/>
    </row>
    <row r="453" spans="5:7" ht="14.25" customHeight="1" x14ac:dyDescent="0.25">
      <c r="E453" s="1"/>
      <c r="F453" s="1"/>
      <c r="G453" s="1"/>
    </row>
    <row r="454" spans="5:7" ht="14.25" customHeight="1" x14ac:dyDescent="0.25">
      <c r="E454" s="1"/>
      <c r="F454" s="1"/>
      <c r="G454" s="1"/>
    </row>
    <row r="455" spans="5:7" ht="14.25" customHeight="1" x14ac:dyDescent="0.25">
      <c r="E455" s="1"/>
      <c r="F455" s="1"/>
      <c r="G455" s="1"/>
    </row>
    <row r="456" spans="5:7" ht="14.25" customHeight="1" x14ac:dyDescent="0.25">
      <c r="E456" s="1"/>
      <c r="F456" s="1"/>
      <c r="G456" s="1"/>
    </row>
    <row r="457" spans="5:7" ht="14.25" customHeight="1" x14ac:dyDescent="0.25">
      <c r="E457" s="1"/>
      <c r="F457" s="1"/>
      <c r="G457" s="1"/>
    </row>
    <row r="458" spans="5:7" ht="14.25" customHeight="1" x14ac:dyDescent="0.25">
      <c r="E458" s="1"/>
      <c r="F458" s="1"/>
      <c r="G458" s="1"/>
    </row>
    <row r="459" spans="5:7" ht="14.25" customHeight="1" x14ac:dyDescent="0.25">
      <c r="E459" s="1"/>
      <c r="F459" s="1"/>
      <c r="G459" s="1"/>
    </row>
    <row r="460" spans="5:7" ht="14.25" customHeight="1" x14ac:dyDescent="0.25">
      <c r="E460" s="1"/>
      <c r="F460" s="1"/>
      <c r="G460" s="1"/>
    </row>
    <row r="461" spans="5:7" ht="14.25" customHeight="1" x14ac:dyDescent="0.25">
      <c r="E461" s="1"/>
      <c r="F461" s="1"/>
      <c r="G461" s="1"/>
    </row>
    <row r="462" spans="5:7" ht="14.25" customHeight="1" x14ac:dyDescent="0.25">
      <c r="E462" s="1"/>
      <c r="F462" s="1"/>
      <c r="G462" s="1"/>
    </row>
    <row r="463" spans="5:7" ht="14.25" customHeight="1" x14ac:dyDescent="0.25">
      <c r="E463" s="1"/>
      <c r="F463" s="1"/>
      <c r="G463" s="1"/>
    </row>
    <row r="464" spans="5:7" ht="14.25" customHeight="1" x14ac:dyDescent="0.25">
      <c r="E464" s="1"/>
      <c r="F464" s="1"/>
      <c r="G464" s="1"/>
    </row>
    <row r="465" spans="5:7" ht="14.25" customHeight="1" x14ac:dyDescent="0.25">
      <c r="E465" s="1"/>
      <c r="F465" s="1"/>
      <c r="G465" s="1"/>
    </row>
    <row r="466" spans="5:7" ht="14.25" customHeight="1" x14ac:dyDescent="0.25">
      <c r="E466" s="1"/>
      <c r="F466" s="1"/>
      <c r="G466" s="1"/>
    </row>
    <row r="467" spans="5:7" ht="14.25" customHeight="1" x14ac:dyDescent="0.25">
      <c r="E467" s="1"/>
      <c r="F467" s="1"/>
      <c r="G467" s="1"/>
    </row>
    <row r="468" spans="5:7" ht="14.25" customHeight="1" x14ac:dyDescent="0.25">
      <c r="E468" s="1"/>
      <c r="F468" s="1"/>
      <c r="G468" s="1"/>
    </row>
    <row r="469" spans="5:7" ht="14.25" customHeight="1" x14ac:dyDescent="0.25">
      <c r="E469" s="1"/>
      <c r="F469" s="1"/>
      <c r="G469" s="1"/>
    </row>
    <row r="470" spans="5:7" ht="14.25" customHeight="1" x14ac:dyDescent="0.25">
      <c r="E470" s="1"/>
      <c r="F470" s="1"/>
      <c r="G470" s="1"/>
    </row>
    <row r="471" spans="5:7" ht="14.25" customHeight="1" x14ac:dyDescent="0.25">
      <c r="E471" s="1"/>
      <c r="F471" s="1"/>
      <c r="G471" s="1"/>
    </row>
    <row r="472" spans="5:7" ht="14.25" customHeight="1" x14ac:dyDescent="0.25">
      <c r="E472" s="1"/>
      <c r="F472" s="1"/>
      <c r="G472" s="1"/>
    </row>
    <row r="473" spans="5:7" ht="14.25" customHeight="1" x14ac:dyDescent="0.25">
      <c r="E473" s="1"/>
      <c r="F473" s="1"/>
      <c r="G473" s="1"/>
    </row>
    <row r="474" spans="5:7" ht="14.25" customHeight="1" x14ac:dyDescent="0.25">
      <c r="E474" s="1"/>
      <c r="F474" s="1"/>
      <c r="G474" s="1"/>
    </row>
    <row r="475" spans="5:7" ht="14.25" customHeight="1" x14ac:dyDescent="0.25">
      <c r="E475" s="1"/>
      <c r="F475" s="1"/>
      <c r="G475" s="1"/>
    </row>
    <row r="476" spans="5:7" ht="14.25" customHeight="1" x14ac:dyDescent="0.25">
      <c r="E476" s="1"/>
      <c r="F476" s="1"/>
      <c r="G476" s="1"/>
    </row>
    <row r="477" spans="5:7" ht="14.25" customHeight="1" x14ac:dyDescent="0.25">
      <c r="E477" s="1"/>
      <c r="F477" s="1"/>
      <c r="G477" s="1"/>
    </row>
    <row r="478" spans="5:7" ht="14.25" customHeight="1" x14ac:dyDescent="0.25">
      <c r="E478" s="1"/>
      <c r="F478" s="1"/>
      <c r="G478" s="1"/>
    </row>
    <row r="479" spans="5:7" ht="14.25" customHeight="1" x14ac:dyDescent="0.25">
      <c r="E479" s="1"/>
      <c r="F479" s="1"/>
      <c r="G479" s="1"/>
    </row>
    <row r="480" spans="5:7" ht="14.25" customHeight="1" x14ac:dyDescent="0.25">
      <c r="E480" s="1"/>
      <c r="F480" s="1"/>
      <c r="G480" s="1"/>
    </row>
    <row r="481" spans="5:7" ht="14.25" customHeight="1" x14ac:dyDescent="0.25">
      <c r="E481" s="1"/>
      <c r="F481" s="1"/>
      <c r="G481" s="1"/>
    </row>
    <row r="482" spans="5:7" ht="14.25" customHeight="1" x14ac:dyDescent="0.25">
      <c r="E482" s="1"/>
      <c r="F482" s="1"/>
      <c r="G482" s="1"/>
    </row>
    <row r="483" spans="5:7" ht="14.25" customHeight="1" x14ac:dyDescent="0.25">
      <c r="E483" s="1"/>
      <c r="F483" s="1"/>
      <c r="G483" s="1"/>
    </row>
    <row r="484" spans="5:7" ht="14.25" customHeight="1" x14ac:dyDescent="0.25">
      <c r="E484" s="1"/>
      <c r="F484" s="1"/>
      <c r="G484" s="1"/>
    </row>
    <row r="485" spans="5:7" ht="14.25" customHeight="1" x14ac:dyDescent="0.25">
      <c r="E485" s="1"/>
      <c r="F485" s="1"/>
      <c r="G485" s="1"/>
    </row>
    <row r="486" spans="5:7" ht="14.25" customHeight="1" x14ac:dyDescent="0.25">
      <c r="E486" s="1"/>
      <c r="F486" s="1"/>
      <c r="G486" s="1"/>
    </row>
    <row r="487" spans="5:7" ht="14.25" customHeight="1" x14ac:dyDescent="0.25">
      <c r="E487" s="1"/>
      <c r="F487" s="1"/>
      <c r="G487" s="1"/>
    </row>
    <row r="488" spans="5:7" ht="14.25" customHeight="1" x14ac:dyDescent="0.25">
      <c r="E488" s="1"/>
      <c r="F488" s="1"/>
      <c r="G488" s="1"/>
    </row>
    <row r="489" spans="5:7" ht="14.25" customHeight="1" x14ac:dyDescent="0.25">
      <c r="E489" s="1"/>
      <c r="F489" s="1"/>
      <c r="G489" s="1"/>
    </row>
    <row r="490" spans="5:7" ht="14.25" customHeight="1" x14ac:dyDescent="0.25">
      <c r="E490" s="1"/>
      <c r="F490" s="1"/>
      <c r="G490" s="1"/>
    </row>
    <row r="491" spans="5:7" ht="14.25" customHeight="1" x14ac:dyDescent="0.25">
      <c r="E491" s="1"/>
      <c r="F491" s="1"/>
      <c r="G491" s="1"/>
    </row>
    <row r="492" spans="5:7" ht="14.25" customHeight="1" x14ac:dyDescent="0.25">
      <c r="E492" s="1"/>
      <c r="F492" s="1"/>
      <c r="G492" s="1"/>
    </row>
    <row r="493" spans="5:7" ht="14.25" customHeight="1" x14ac:dyDescent="0.25">
      <c r="E493" s="1"/>
      <c r="F493" s="1"/>
      <c r="G493" s="1"/>
    </row>
    <row r="494" spans="5:7" ht="14.25" customHeight="1" x14ac:dyDescent="0.25">
      <c r="E494" s="1"/>
      <c r="F494" s="1"/>
      <c r="G494" s="1"/>
    </row>
    <row r="495" spans="5:7" ht="14.25" customHeight="1" x14ac:dyDescent="0.25">
      <c r="E495" s="1"/>
      <c r="F495" s="1"/>
      <c r="G495" s="1"/>
    </row>
    <row r="496" spans="5:7" ht="14.25" customHeight="1" x14ac:dyDescent="0.25">
      <c r="E496" s="1"/>
      <c r="F496" s="1"/>
      <c r="G496" s="1"/>
    </row>
    <row r="497" spans="5:7" ht="14.25" customHeight="1" x14ac:dyDescent="0.25">
      <c r="E497" s="1"/>
      <c r="F497" s="1"/>
      <c r="G497" s="1"/>
    </row>
    <row r="498" spans="5:7" ht="14.25" customHeight="1" x14ac:dyDescent="0.25">
      <c r="E498" s="1"/>
      <c r="F498" s="1"/>
      <c r="G498" s="1"/>
    </row>
    <row r="499" spans="5:7" ht="14.25" customHeight="1" x14ac:dyDescent="0.25">
      <c r="E499" s="1"/>
      <c r="F499" s="1"/>
      <c r="G499" s="1"/>
    </row>
    <row r="500" spans="5:7" ht="14.25" customHeight="1" x14ac:dyDescent="0.25">
      <c r="E500" s="1"/>
      <c r="F500" s="1"/>
      <c r="G500" s="1"/>
    </row>
    <row r="501" spans="5:7" ht="14.25" customHeight="1" x14ac:dyDescent="0.25">
      <c r="E501" s="1"/>
      <c r="F501" s="1"/>
      <c r="G501" s="1"/>
    </row>
    <row r="502" spans="5:7" ht="14.25" customHeight="1" x14ac:dyDescent="0.25">
      <c r="E502" s="1"/>
      <c r="F502" s="1"/>
      <c r="G502" s="1"/>
    </row>
    <row r="503" spans="5:7" ht="14.25" customHeight="1" x14ac:dyDescent="0.25">
      <c r="E503" s="1"/>
      <c r="F503" s="1"/>
      <c r="G503" s="1"/>
    </row>
    <row r="504" spans="5:7" ht="14.25" customHeight="1" x14ac:dyDescent="0.25">
      <c r="E504" s="1"/>
      <c r="F504" s="1"/>
      <c r="G504" s="1"/>
    </row>
    <row r="505" spans="5:7" ht="14.25" customHeight="1" x14ac:dyDescent="0.25">
      <c r="E505" s="1"/>
      <c r="F505" s="1"/>
      <c r="G505" s="1"/>
    </row>
    <row r="506" spans="5:7" ht="14.25" customHeight="1" x14ac:dyDescent="0.25">
      <c r="E506" s="1"/>
      <c r="F506" s="1"/>
      <c r="G506" s="1"/>
    </row>
    <row r="507" spans="5:7" ht="14.25" customHeight="1" x14ac:dyDescent="0.25">
      <c r="E507" s="1"/>
      <c r="F507" s="1"/>
      <c r="G507" s="1"/>
    </row>
    <row r="508" spans="5:7" ht="14.25" customHeight="1" x14ac:dyDescent="0.25">
      <c r="E508" s="1"/>
      <c r="F508" s="1"/>
      <c r="G508" s="1"/>
    </row>
    <row r="509" spans="5:7" ht="14.25" customHeight="1" x14ac:dyDescent="0.25">
      <c r="E509" s="1"/>
      <c r="F509" s="1"/>
      <c r="G509" s="1"/>
    </row>
    <row r="510" spans="5:7" ht="14.25" customHeight="1" x14ac:dyDescent="0.25">
      <c r="E510" s="1"/>
      <c r="F510" s="1"/>
      <c r="G510" s="1"/>
    </row>
    <row r="511" spans="5:7" ht="14.25" customHeight="1" x14ac:dyDescent="0.25">
      <c r="E511" s="1"/>
      <c r="F511" s="1"/>
      <c r="G511" s="1"/>
    </row>
    <row r="512" spans="5:7" ht="14.25" customHeight="1" x14ac:dyDescent="0.25">
      <c r="E512" s="1"/>
      <c r="F512" s="1"/>
      <c r="G512" s="1"/>
    </row>
    <row r="513" spans="5:7" ht="14.25" customHeight="1" x14ac:dyDescent="0.25">
      <c r="E513" s="1"/>
      <c r="F513" s="1"/>
      <c r="G513" s="1"/>
    </row>
    <row r="514" spans="5:7" ht="14.25" customHeight="1" x14ac:dyDescent="0.25">
      <c r="E514" s="1"/>
      <c r="F514" s="1"/>
      <c r="G514" s="1"/>
    </row>
    <row r="515" spans="5:7" ht="14.25" customHeight="1" x14ac:dyDescent="0.25">
      <c r="E515" s="1"/>
      <c r="F515" s="1"/>
      <c r="G515" s="1"/>
    </row>
    <row r="516" spans="5:7" ht="14.25" customHeight="1" x14ac:dyDescent="0.25">
      <c r="E516" s="1"/>
      <c r="F516" s="1"/>
      <c r="G516" s="1"/>
    </row>
    <row r="517" spans="5:7" ht="14.25" customHeight="1" x14ac:dyDescent="0.25">
      <c r="E517" s="1"/>
      <c r="F517" s="1"/>
      <c r="G517" s="1"/>
    </row>
    <row r="518" spans="5:7" ht="14.25" customHeight="1" x14ac:dyDescent="0.25">
      <c r="E518" s="1"/>
      <c r="F518" s="1"/>
      <c r="G518" s="1"/>
    </row>
    <row r="519" spans="5:7" ht="14.25" customHeight="1" x14ac:dyDescent="0.25">
      <c r="E519" s="1"/>
      <c r="F519" s="1"/>
      <c r="G519" s="1"/>
    </row>
    <row r="520" spans="5:7" ht="14.25" customHeight="1" x14ac:dyDescent="0.25">
      <c r="E520" s="1"/>
      <c r="F520" s="1"/>
      <c r="G520" s="1"/>
    </row>
    <row r="521" spans="5:7" ht="14.25" customHeight="1" x14ac:dyDescent="0.25">
      <c r="E521" s="1"/>
      <c r="F521" s="1"/>
      <c r="G521" s="1"/>
    </row>
    <row r="522" spans="5:7" ht="14.25" customHeight="1" x14ac:dyDescent="0.25">
      <c r="E522" s="1"/>
      <c r="F522" s="1"/>
      <c r="G522" s="1"/>
    </row>
    <row r="523" spans="5:7" ht="14.25" customHeight="1" x14ac:dyDescent="0.25">
      <c r="E523" s="1"/>
      <c r="F523" s="1"/>
      <c r="G523" s="1"/>
    </row>
    <row r="524" spans="5:7" ht="14.25" customHeight="1" x14ac:dyDescent="0.25">
      <c r="E524" s="1"/>
      <c r="F524" s="1"/>
      <c r="G524" s="1"/>
    </row>
    <row r="525" spans="5:7" ht="14.25" customHeight="1" x14ac:dyDescent="0.25">
      <c r="E525" s="1"/>
      <c r="F525" s="1"/>
      <c r="G525" s="1"/>
    </row>
    <row r="526" spans="5:7" ht="14.25" customHeight="1" x14ac:dyDescent="0.25">
      <c r="E526" s="1"/>
      <c r="F526" s="1"/>
      <c r="G526" s="1"/>
    </row>
    <row r="527" spans="5:7" ht="14.25" customHeight="1" x14ac:dyDescent="0.25">
      <c r="E527" s="1"/>
      <c r="F527" s="1"/>
      <c r="G527" s="1"/>
    </row>
    <row r="528" spans="5:7" ht="14.25" customHeight="1" x14ac:dyDescent="0.25">
      <c r="E528" s="1"/>
      <c r="F528" s="1"/>
      <c r="G528" s="1"/>
    </row>
    <row r="529" spans="5:7" ht="14.25" customHeight="1" x14ac:dyDescent="0.25">
      <c r="E529" s="1"/>
      <c r="F529" s="1"/>
      <c r="G529" s="1"/>
    </row>
    <row r="530" spans="5:7" ht="14.25" customHeight="1" x14ac:dyDescent="0.25">
      <c r="E530" s="1"/>
      <c r="F530" s="1"/>
      <c r="G530" s="1"/>
    </row>
    <row r="531" spans="5:7" ht="14.25" customHeight="1" x14ac:dyDescent="0.25">
      <c r="E531" s="1"/>
      <c r="F531" s="1"/>
      <c r="G531" s="1"/>
    </row>
    <row r="532" spans="5:7" ht="14.25" customHeight="1" x14ac:dyDescent="0.25">
      <c r="E532" s="1"/>
      <c r="F532" s="1"/>
      <c r="G532" s="1"/>
    </row>
    <row r="533" spans="5:7" ht="14.25" customHeight="1" x14ac:dyDescent="0.25">
      <c r="E533" s="1"/>
      <c r="F533" s="1"/>
      <c r="G533" s="1"/>
    </row>
    <row r="534" spans="5:7" ht="14.25" customHeight="1" x14ac:dyDescent="0.25">
      <c r="E534" s="1"/>
      <c r="F534" s="1"/>
      <c r="G534" s="1"/>
    </row>
    <row r="535" spans="5:7" ht="14.25" customHeight="1" x14ac:dyDescent="0.25">
      <c r="E535" s="1"/>
      <c r="F535" s="1"/>
      <c r="G535" s="1"/>
    </row>
    <row r="536" spans="5:7" ht="14.25" customHeight="1" x14ac:dyDescent="0.25">
      <c r="E536" s="1"/>
      <c r="F536" s="1"/>
      <c r="G536" s="1"/>
    </row>
    <row r="537" spans="5:7" ht="14.25" customHeight="1" x14ac:dyDescent="0.25">
      <c r="E537" s="1"/>
      <c r="F537" s="1"/>
      <c r="G537" s="1"/>
    </row>
    <row r="538" spans="5:7" ht="14.25" customHeight="1" x14ac:dyDescent="0.25">
      <c r="E538" s="1"/>
      <c r="F538" s="1"/>
      <c r="G538" s="1"/>
    </row>
    <row r="539" spans="5:7" ht="14.25" customHeight="1" x14ac:dyDescent="0.25">
      <c r="E539" s="1"/>
      <c r="F539" s="1"/>
      <c r="G539" s="1"/>
    </row>
    <row r="540" spans="5:7" ht="14.25" customHeight="1" x14ac:dyDescent="0.25">
      <c r="E540" s="1"/>
      <c r="F540" s="1"/>
      <c r="G540" s="1"/>
    </row>
    <row r="541" spans="5:7" ht="14.25" customHeight="1" x14ac:dyDescent="0.25">
      <c r="E541" s="1"/>
      <c r="F541" s="1"/>
      <c r="G541" s="1"/>
    </row>
    <row r="542" spans="5:7" ht="14.25" customHeight="1" x14ac:dyDescent="0.25">
      <c r="E542" s="1"/>
      <c r="F542" s="1"/>
      <c r="G542" s="1"/>
    </row>
    <row r="543" spans="5:7" ht="14.25" customHeight="1" x14ac:dyDescent="0.25">
      <c r="E543" s="1"/>
      <c r="F543" s="1"/>
      <c r="G543" s="1"/>
    </row>
    <row r="544" spans="5:7" ht="14.25" customHeight="1" x14ac:dyDescent="0.25">
      <c r="E544" s="1"/>
      <c r="F544" s="1"/>
      <c r="G544" s="1"/>
    </row>
    <row r="545" spans="5:7" ht="14.25" customHeight="1" x14ac:dyDescent="0.25">
      <c r="E545" s="1"/>
      <c r="F545" s="1"/>
      <c r="G545" s="1"/>
    </row>
    <row r="546" spans="5:7" ht="14.25" customHeight="1" x14ac:dyDescent="0.25">
      <c r="E546" s="1"/>
      <c r="F546" s="1"/>
      <c r="G546" s="1"/>
    </row>
    <row r="547" spans="5:7" ht="14.25" customHeight="1" x14ac:dyDescent="0.25">
      <c r="E547" s="1"/>
      <c r="F547" s="1"/>
      <c r="G547" s="1"/>
    </row>
    <row r="548" spans="5:7" ht="14.25" customHeight="1" x14ac:dyDescent="0.25">
      <c r="E548" s="1"/>
      <c r="F548" s="1"/>
      <c r="G548" s="1"/>
    </row>
    <row r="549" spans="5:7" ht="14.25" customHeight="1" x14ac:dyDescent="0.25">
      <c r="E549" s="1"/>
      <c r="F549" s="1"/>
      <c r="G549" s="1"/>
    </row>
    <row r="550" spans="5:7" ht="14.25" customHeight="1" x14ac:dyDescent="0.25">
      <c r="E550" s="1"/>
      <c r="F550" s="1"/>
      <c r="G550" s="1"/>
    </row>
    <row r="551" spans="5:7" ht="14.25" customHeight="1" x14ac:dyDescent="0.25">
      <c r="E551" s="1"/>
      <c r="F551" s="1"/>
      <c r="G551" s="1"/>
    </row>
    <row r="552" spans="5:7" ht="14.25" customHeight="1" x14ac:dyDescent="0.25">
      <c r="E552" s="1"/>
      <c r="F552" s="1"/>
      <c r="G552" s="1"/>
    </row>
    <row r="553" spans="5:7" ht="14.25" customHeight="1" x14ac:dyDescent="0.25">
      <c r="E553" s="1"/>
      <c r="F553" s="1"/>
      <c r="G553" s="1"/>
    </row>
    <row r="554" spans="5:7" ht="14.25" customHeight="1" x14ac:dyDescent="0.25">
      <c r="E554" s="1"/>
      <c r="F554" s="1"/>
      <c r="G554" s="1"/>
    </row>
    <row r="555" spans="5:7" ht="14.25" customHeight="1" x14ac:dyDescent="0.25">
      <c r="E555" s="1"/>
      <c r="F555" s="1"/>
      <c r="G555" s="1"/>
    </row>
    <row r="556" spans="5:7" ht="14.25" customHeight="1" x14ac:dyDescent="0.25">
      <c r="E556" s="1"/>
      <c r="F556" s="1"/>
      <c r="G556" s="1"/>
    </row>
    <row r="557" spans="5:7" ht="14.25" customHeight="1" x14ac:dyDescent="0.25">
      <c r="E557" s="1"/>
      <c r="F557" s="1"/>
      <c r="G557" s="1"/>
    </row>
    <row r="558" spans="5:7" ht="14.25" customHeight="1" x14ac:dyDescent="0.25">
      <c r="E558" s="1"/>
      <c r="F558" s="1"/>
      <c r="G558" s="1"/>
    </row>
    <row r="559" spans="5:7" ht="14.25" customHeight="1" x14ac:dyDescent="0.25">
      <c r="E559" s="1"/>
      <c r="F559" s="1"/>
      <c r="G559" s="1"/>
    </row>
    <row r="560" spans="5:7" ht="14.25" customHeight="1" x14ac:dyDescent="0.25">
      <c r="E560" s="1"/>
      <c r="F560" s="1"/>
      <c r="G560" s="1"/>
    </row>
    <row r="561" spans="5:7" ht="14.25" customHeight="1" x14ac:dyDescent="0.25">
      <c r="E561" s="1"/>
      <c r="F561" s="1"/>
      <c r="G561" s="1"/>
    </row>
    <row r="562" spans="5:7" ht="14.25" customHeight="1" x14ac:dyDescent="0.25">
      <c r="E562" s="1"/>
      <c r="F562" s="1"/>
      <c r="G562" s="1"/>
    </row>
    <row r="563" spans="5:7" ht="14.25" customHeight="1" x14ac:dyDescent="0.25">
      <c r="E563" s="1"/>
      <c r="F563" s="1"/>
      <c r="G563" s="1"/>
    </row>
    <row r="564" spans="5:7" ht="14.25" customHeight="1" x14ac:dyDescent="0.25">
      <c r="E564" s="1"/>
      <c r="F564" s="1"/>
      <c r="G564" s="1"/>
    </row>
    <row r="565" spans="5:7" ht="14.25" customHeight="1" x14ac:dyDescent="0.25">
      <c r="E565" s="1"/>
      <c r="F565" s="1"/>
      <c r="G565" s="1"/>
    </row>
    <row r="566" spans="5:7" ht="14.25" customHeight="1" x14ac:dyDescent="0.25">
      <c r="E566" s="1"/>
      <c r="F566" s="1"/>
      <c r="G566" s="1"/>
    </row>
    <row r="567" spans="5:7" ht="14.25" customHeight="1" x14ac:dyDescent="0.25">
      <c r="E567" s="1"/>
      <c r="F567" s="1"/>
      <c r="G567" s="1"/>
    </row>
    <row r="568" spans="5:7" ht="14.25" customHeight="1" x14ac:dyDescent="0.25">
      <c r="E568" s="1"/>
      <c r="F568" s="1"/>
      <c r="G568" s="1"/>
    </row>
    <row r="569" spans="5:7" ht="14.25" customHeight="1" x14ac:dyDescent="0.25">
      <c r="E569" s="1"/>
      <c r="F569" s="1"/>
      <c r="G569" s="1"/>
    </row>
    <row r="570" spans="5:7" ht="14.25" customHeight="1" x14ac:dyDescent="0.25">
      <c r="E570" s="1"/>
      <c r="F570" s="1"/>
      <c r="G570" s="1"/>
    </row>
    <row r="571" spans="5:7" ht="14.25" customHeight="1" x14ac:dyDescent="0.25">
      <c r="E571" s="1"/>
      <c r="F571" s="1"/>
      <c r="G571" s="1"/>
    </row>
    <row r="572" spans="5:7" ht="14.25" customHeight="1" x14ac:dyDescent="0.25">
      <c r="E572" s="1"/>
      <c r="F572" s="1"/>
      <c r="G572" s="1"/>
    </row>
    <row r="573" spans="5:7" ht="14.25" customHeight="1" x14ac:dyDescent="0.25">
      <c r="E573" s="1"/>
      <c r="F573" s="1"/>
      <c r="G573" s="1"/>
    </row>
    <row r="574" spans="5:7" ht="14.25" customHeight="1" x14ac:dyDescent="0.25">
      <c r="E574" s="1"/>
      <c r="F574" s="1"/>
      <c r="G574" s="1"/>
    </row>
    <row r="575" spans="5:7" ht="14.25" customHeight="1" x14ac:dyDescent="0.25">
      <c r="E575" s="1"/>
      <c r="F575" s="1"/>
      <c r="G575" s="1"/>
    </row>
    <row r="576" spans="5:7" ht="14.25" customHeight="1" x14ac:dyDescent="0.25">
      <c r="E576" s="1"/>
      <c r="F576" s="1"/>
      <c r="G576" s="1"/>
    </row>
    <row r="577" spans="5:7" ht="14.25" customHeight="1" x14ac:dyDescent="0.25">
      <c r="E577" s="1"/>
      <c r="F577" s="1"/>
      <c r="G577" s="1"/>
    </row>
    <row r="578" spans="5:7" ht="14.25" customHeight="1" x14ac:dyDescent="0.25">
      <c r="E578" s="1"/>
      <c r="F578" s="1"/>
      <c r="G578" s="1"/>
    </row>
    <row r="579" spans="5:7" ht="14.25" customHeight="1" x14ac:dyDescent="0.25">
      <c r="E579" s="1"/>
      <c r="F579" s="1"/>
      <c r="G579" s="1"/>
    </row>
    <row r="580" spans="5:7" ht="14.25" customHeight="1" x14ac:dyDescent="0.25">
      <c r="E580" s="1"/>
      <c r="F580" s="1"/>
      <c r="G580" s="1"/>
    </row>
    <row r="581" spans="5:7" ht="14.25" customHeight="1" x14ac:dyDescent="0.25">
      <c r="E581" s="1"/>
      <c r="F581" s="1"/>
      <c r="G581" s="1"/>
    </row>
    <row r="582" spans="5:7" ht="14.25" customHeight="1" x14ac:dyDescent="0.25">
      <c r="E582" s="1"/>
      <c r="F582" s="1"/>
      <c r="G582" s="1"/>
    </row>
    <row r="583" spans="5:7" ht="14.25" customHeight="1" x14ac:dyDescent="0.25">
      <c r="E583" s="1"/>
      <c r="F583" s="1"/>
      <c r="G583" s="1"/>
    </row>
    <row r="584" spans="5:7" ht="14.25" customHeight="1" x14ac:dyDescent="0.25">
      <c r="E584" s="1"/>
      <c r="F584" s="1"/>
      <c r="G584" s="1"/>
    </row>
    <row r="585" spans="5:7" ht="14.25" customHeight="1" x14ac:dyDescent="0.25">
      <c r="E585" s="1"/>
      <c r="F585" s="1"/>
      <c r="G585" s="1"/>
    </row>
    <row r="586" spans="5:7" ht="14.25" customHeight="1" x14ac:dyDescent="0.25">
      <c r="E586" s="1"/>
      <c r="F586" s="1"/>
      <c r="G586" s="1"/>
    </row>
    <row r="587" spans="5:7" ht="14.25" customHeight="1" x14ac:dyDescent="0.25">
      <c r="E587" s="1"/>
      <c r="F587" s="1"/>
      <c r="G587" s="1"/>
    </row>
    <row r="588" spans="5:7" ht="14.25" customHeight="1" x14ac:dyDescent="0.25">
      <c r="E588" s="1"/>
      <c r="F588" s="1"/>
      <c r="G588" s="1"/>
    </row>
    <row r="589" spans="5:7" ht="14.25" customHeight="1" x14ac:dyDescent="0.25">
      <c r="E589" s="1"/>
      <c r="F589" s="1"/>
      <c r="G589" s="1"/>
    </row>
    <row r="590" spans="5:7" ht="14.25" customHeight="1" x14ac:dyDescent="0.25">
      <c r="E590" s="1"/>
      <c r="F590" s="1"/>
      <c r="G590" s="1"/>
    </row>
    <row r="591" spans="5:7" ht="14.25" customHeight="1" x14ac:dyDescent="0.25">
      <c r="E591" s="1"/>
      <c r="F591" s="1"/>
      <c r="G591" s="1"/>
    </row>
    <row r="592" spans="5:7" ht="14.25" customHeight="1" x14ac:dyDescent="0.25">
      <c r="E592" s="1"/>
      <c r="F592" s="1"/>
      <c r="G592" s="1"/>
    </row>
    <row r="593" spans="5:7" ht="14.25" customHeight="1" x14ac:dyDescent="0.25">
      <c r="E593" s="1"/>
      <c r="F593" s="1"/>
      <c r="G593" s="1"/>
    </row>
    <row r="594" spans="5:7" ht="14.25" customHeight="1" x14ac:dyDescent="0.25">
      <c r="E594" s="1"/>
      <c r="F594" s="1"/>
      <c r="G594" s="1"/>
    </row>
    <row r="595" spans="5:7" ht="14.25" customHeight="1" x14ac:dyDescent="0.25">
      <c r="E595" s="1"/>
      <c r="F595" s="1"/>
      <c r="G595" s="1"/>
    </row>
    <row r="596" spans="5:7" ht="14.25" customHeight="1" x14ac:dyDescent="0.25">
      <c r="E596" s="1"/>
      <c r="F596" s="1"/>
      <c r="G596" s="1"/>
    </row>
    <row r="597" spans="5:7" ht="14.25" customHeight="1" x14ac:dyDescent="0.25">
      <c r="E597" s="1"/>
      <c r="F597" s="1"/>
      <c r="G597" s="1"/>
    </row>
    <row r="598" spans="5:7" ht="14.25" customHeight="1" x14ac:dyDescent="0.25">
      <c r="E598" s="1"/>
      <c r="F598" s="1"/>
      <c r="G598" s="1"/>
    </row>
    <row r="599" spans="5:7" ht="14.25" customHeight="1" x14ac:dyDescent="0.25">
      <c r="E599" s="1"/>
      <c r="F599" s="1"/>
      <c r="G599" s="1"/>
    </row>
    <row r="600" spans="5:7" ht="14.25" customHeight="1" x14ac:dyDescent="0.25">
      <c r="E600" s="1"/>
      <c r="F600" s="1"/>
      <c r="G600" s="1"/>
    </row>
    <row r="601" spans="5:7" ht="14.25" customHeight="1" x14ac:dyDescent="0.25">
      <c r="E601" s="1"/>
      <c r="F601" s="1"/>
      <c r="G601" s="1"/>
    </row>
    <row r="602" spans="5:7" ht="14.25" customHeight="1" x14ac:dyDescent="0.25">
      <c r="E602" s="1"/>
      <c r="F602" s="1"/>
      <c r="G602" s="1"/>
    </row>
    <row r="603" spans="5:7" ht="14.25" customHeight="1" x14ac:dyDescent="0.25">
      <c r="E603" s="1"/>
      <c r="F603" s="1"/>
      <c r="G603" s="1"/>
    </row>
    <row r="604" spans="5:7" ht="14.25" customHeight="1" x14ac:dyDescent="0.25">
      <c r="E604" s="1"/>
      <c r="F604" s="1"/>
      <c r="G604" s="1"/>
    </row>
    <row r="605" spans="5:7" ht="14.25" customHeight="1" x14ac:dyDescent="0.25">
      <c r="E605" s="1"/>
      <c r="F605" s="1"/>
      <c r="G605" s="1"/>
    </row>
    <row r="606" spans="5:7" ht="14.25" customHeight="1" x14ac:dyDescent="0.25">
      <c r="E606" s="1"/>
      <c r="F606" s="1"/>
      <c r="G606" s="1"/>
    </row>
    <row r="607" spans="5:7" ht="14.25" customHeight="1" x14ac:dyDescent="0.25">
      <c r="E607" s="1"/>
      <c r="F607" s="1"/>
      <c r="G607" s="1"/>
    </row>
    <row r="608" spans="5:7" ht="14.25" customHeight="1" x14ac:dyDescent="0.25">
      <c r="E608" s="1"/>
      <c r="F608" s="1"/>
      <c r="G608" s="1"/>
    </row>
    <row r="609" spans="5:7" ht="14.25" customHeight="1" x14ac:dyDescent="0.25">
      <c r="E609" s="1"/>
      <c r="F609" s="1"/>
      <c r="G609" s="1"/>
    </row>
    <row r="610" spans="5:7" ht="14.25" customHeight="1" x14ac:dyDescent="0.25">
      <c r="E610" s="1"/>
      <c r="F610" s="1"/>
      <c r="G610" s="1"/>
    </row>
    <row r="611" spans="5:7" ht="14.25" customHeight="1" x14ac:dyDescent="0.25">
      <c r="E611" s="1"/>
      <c r="F611" s="1"/>
      <c r="G611" s="1"/>
    </row>
    <row r="612" spans="5:7" ht="14.25" customHeight="1" x14ac:dyDescent="0.25">
      <c r="E612" s="1"/>
      <c r="F612" s="1"/>
      <c r="G612" s="1"/>
    </row>
    <row r="613" spans="5:7" ht="14.25" customHeight="1" x14ac:dyDescent="0.25">
      <c r="E613" s="1"/>
      <c r="F613" s="1"/>
      <c r="G613" s="1"/>
    </row>
    <row r="614" spans="5:7" ht="14.25" customHeight="1" x14ac:dyDescent="0.25">
      <c r="E614" s="1"/>
      <c r="F614" s="1"/>
      <c r="G614" s="1"/>
    </row>
    <row r="615" spans="5:7" ht="14.25" customHeight="1" x14ac:dyDescent="0.25">
      <c r="E615" s="1"/>
      <c r="F615" s="1"/>
      <c r="G615" s="1"/>
    </row>
    <row r="616" spans="5:7" ht="14.25" customHeight="1" x14ac:dyDescent="0.25">
      <c r="E616" s="1"/>
      <c r="F616" s="1"/>
      <c r="G616" s="1"/>
    </row>
    <row r="617" spans="5:7" ht="14.25" customHeight="1" x14ac:dyDescent="0.25">
      <c r="E617" s="1"/>
      <c r="F617" s="1"/>
      <c r="G617" s="1"/>
    </row>
    <row r="618" spans="5:7" ht="14.25" customHeight="1" x14ac:dyDescent="0.25">
      <c r="E618" s="1"/>
      <c r="F618" s="1"/>
      <c r="G618" s="1"/>
    </row>
    <row r="619" spans="5:7" ht="14.25" customHeight="1" x14ac:dyDescent="0.25">
      <c r="E619" s="1"/>
      <c r="F619" s="1"/>
      <c r="G619" s="1"/>
    </row>
    <row r="620" spans="5:7" ht="14.25" customHeight="1" x14ac:dyDescent="0.25">
      <c r="E620" s="1"/>
      <c r="F620" s="1"/>
      <c r="G620" s="1"/>
    </row>
    <row r="621" spans="5:7" ht="14.25" customHeight="1" x14ac:dyDescent="0.25">
      <c r="E621" s="1"/>
      <c r="F621" s="1"/>
      <c r="G621" s="1"/>
    </row>
    <row r="622" spans="5:7" ht="14.25" customHeight="1" x14ac:dyDescent="0.25">
      <c r="E622" s="1"/>
      <c r="F622" s="1"/>
      <c r="G622" s="1"/>
    </row>
    <row r="623" spans="5:7" ht="14.25" customHeight="1" x14ac:dyDescent="0.25">
      <c r="E623" s="1"/>
      <c r="F623" s="1"/>
      <c r="G623" s="1"/>
    </row>
    <row r="624" spans="5:7" ht="14.25" customHeight="1" x14ac:dyDescent="0.25">
      <c r="E624" s="1"/>
      <c r="F624" s="1"/>
      <c r="G624" s="1"/>
    </row>
    <row r="625" spans="5:7" ht="14.25" customHeight="1" x14ac:dyDescent="0.25">
      <c r="E625" s="1"/>
      <c r="F625" s="1"/>
      <c r="G625" s="1"/>
    </row>
    <row r="626" spans="5:7" ht="14.25" customHeight="1" x14ac:dyDescent="0.25">
      <c r="E626" s="1"/>
      <c r="F626" s="1"/>
      <c r="G626" s="1"/>
    </row>
    <row r="627" spans="5:7" ht="14.25" customHeight="1" x14ac:dyDescent="0.25">
      <c r="E627" s="1"/>
      <c r="F627" s="1"/>
      <c r="G627" s="1"/>
    </row>
    <row r="628" spans="5:7" ht="14.25" customHeight="1" x14ac:dyDescent="0.25">
      <c r="E628" s="1"/>
      <c r="F628" s="1"/>
      <c r="G628" s="1"/>
    </row>
    <row r="629" spans="5:7" ht="14.25" customHeight="1" x14ac:dyDescent="0.25">
      <c r="E629" s="1"/>
      <c r="F629" s="1"/>
      <c r="G629" s="1"/>
    </row>
    <row r="630" spans="5:7" ht="14.25" customHeight="1" x14ac:dyDescent="0.25">
      <c r="E630" s="1"/>
      <c r="F630" s="1"/>
      <c r="G630" s="1"/>
    </row>
    <row r="631" spans="5:7" ht="14.25" customHeight="1" x14ac:dyDescent="0.25">
      <c r="E631" s="1"/>
      <c r="F631" s="1"/>
      <c r="G631" s="1"/>
    </row>
    <row r="632" spans="5:7" ht="14.25" customHeight="1" x14ac:dyDescent="0.25">
      <c r="E632" s="1"/>
      <c r="F632" s="1"/>
      <c r="G632" s="1"/>
    </row>
    <row r="633" spans="5:7" ht="14.25" customHeight="1" x14ac:dyDescent="0.25">
      <c r="E633" s="1"/>
      <c r="F633" s="1"/>
      <c r="G633" s="1"/>
    </row>
    <row r="634" spans="5:7" ht="14.25" customHeight="1" x14ac:dyDescent="0.25">
      <c r="E634" s="1"/>
      <c r="F634" s="1"/>
      <c r="G634" s="1"/>
    </row>
    <row r="635" spans="5:7" ht="14.25" customHeight="1" x14ac:dyDescent="0.25">
      <c r="E635" s="1"/>
      <c r="F635" s="1"/>
      <c r="G635" s="1"/>
    </row>
    <row r="636" spans="5:7" ht="14.25" customHeight="1" x14ac:dyDescent="0.25">
      <c r="E636" s="1"/>
      <c r="F636" s="1"/>
      <c r="G636" s="1"/>
    </row>
    <row r="637" spans="5:7" ht="14.25" customHeight="1" x14ac:dyDescent="0.25">
      <c r="E637" s="1"/>
      <c r="F637" s="1"/>
      <c r="G637" s="1"/>
    </row>
    <row r="638" spans="5:7" ht="14.25" customHeight="1" x14ac:dyDescent="0.25">
      <c r="E638" s="1"/>
      <c r="F638" s="1"/>
      <c r="G638" s="1"/>
    </row>
    <row r="639" spans="5:7" ht="14.25" customHeight="1" x14ac:dyDescent="0.25">
      <c r="E639" s="1"/>
      <c r="F639" s="1"/>
      <c r="G639" s="1"/>
    </row>
    <row r="640" spans="5:7" ht="14.25" customHeight="1" x14ac:dyDescent="0.25">
      <c r="E640" s="1"/>
      <c r="F640" s="1"/>
      <c r="G640" s="1"/>
    </row>
    <row r="641" spans="5:7" ht="14.25" customHeight="1" x14ac:dyDescent="0.25">
      <c r="E641" s="1"/>
      <c r="F641" s="1"/>
      <c r="G641" s="1"/>
    </row>
    <row r="642" spans="5:7" ht="14.25" customHeight="1" x14ac:dyDescent="0.25">
      <c r="E642" s="1"/>
      <c r="F642" s="1"/>
      <c r="G642" s="1"/>
    </row>
    <row r="643" spans="5:7" ht="14.25" customHeight="1" x14ac:dyDescent="0.25">
      <c r="E643" s="1"/>
      <c r="F643" s="1"/>
      <c r="G643" s="1"/>
    </row>
    <row r="644" spans="5:7" ht="14.25" customHeight="1" x14ac:dyDescent="0.25">
      <c r="E644" s="1"/>
      <c r="F644" s="1"/>
      <c r="G644" s="1"/>
    </row>
    <row r="645" spans="5:7" ht="14.25" customHeight="1" x14ac:dyDescent="0.25">
      <c r="E645" s="1"/>
      <c r="F645" s="1"/>
      <c r="G645" s="1"/>
    </row>
    <row r="646" spans="5:7" ht="14.25" customHeight="1" x14ac:dyDescent="0.25">
      <c r="E646" s="1"/>
      <c r="F646" s="1"/>
      <c r="G646" s="1"/>
    </row>
    <row r="647" spans="5:7" ht="14.25" customHeight="1" x14ac:dyDescent="0.25">
      <c r="E647" s="1"/>
      <c r="F647" s="1"/>
      <c r="G647" s="1"/>
    </row>
    <row r="648" spans="5:7" ht="14.25" customHeight="1" x14ac:dyDescent="0.25">
      <c r="E648" s="1"/>
      <c r="F648" s="1"/>
      <c r="G648" s="1"/>
    </row>
    <row r="649" spans="5:7" ht="14.25" customHeight="1" x14ac:dyDescent="0.25">
      <c r="E649" s="1"/>
      <c r="F649" s="1"/>
      <c r="G649" s="1"/>
    </row>
    <row r="650" spans="5:7" ht="14.25" customHeight="1" x14ac:dyDescent="0.25">
      <c r="E650" s="1"/>
      <c r="F650" s="1"/>
      <c r="G650" s="1"/>
    </row>
    <row r="651" spans="5:7" ht="14.25" customHeight="1" x14ac:dyDescent="0.25">
      <c r="E651" s="1"/>
      <c r="F651" s="1"/>
      <c r="G651" s="1"/>
    </row>
    <row r="652" spans="5:7" ht="14.25" customHeight="1" x14ac:dyDescent="0.25">
      <c r="E652" s="1"/>
      <c r="F652" s="1"/>
      <c r="G652" s="1"/>
    </row>
    <row r="653" spans="5:7" ht="14.25" customHeight="1" x14ac:dyDescent="0.25">
      <c r="E653" s="1"/>
      <c r="F653" s="1"/>
      <c r="G653" s="1"/>
    </row>
    <row r="654" spans="5:7" ht="14.25" customHeight="1" x14ac:dyDescent="0.25">
      <c r="E654" s="1"/>
      <c r="F654" s="1"/>
      <c r="G654" s="1"/>
    </row>
    <row r="655" spans="5:7" ht="14.25" customHeight="1" x14ac:dyDescent="0.25">
      <c r="E655" s="1"/>
      <c r="F655" s="1"/>
      <c r="G655" s="1"/>
    </row>
    <row r="656" spans="5:7" ht="14.25" customHeight="1" x14ac:dyDescent="0.25">
      <c r="E656" s="1"/>
      <c r="F656" s="1"/>
      <c r="G656" s="1"/>
    </row>
    <row r="657" spans="5:7" ht="14.25" customHeight="1" x14ac:dyDescent="0.25">
      <c r="E657" s="1"/>
      <c r="F657" s="1"/>
      <c r="G657" s="1"/>
    </row>
    <row r="658" spans="5:7" ht="14.25" customHeight="1" x14ac:dyDescent="0.25">
      <c r="E658" s="1"/>
      <c r="F658" s="1"/>
      <c r="G658" s="1"/>
    </row>
    <row r="659" spans="5:7" ht="14.25" customHeight="1" x14ac:dyDescent="0.25">
      <c r="E659" s="1"/>
      <c r="F659" s="1"/>
      <c r="G659" s="1"/>
    </row>
    <row r="660" spans="5:7" ht="14.25" customHeight="1" x14ac:dyDescent="0.25">
      <c r="E660" s="1"/>
      <c r="F660" s="1"/>
      <c r="G660" s="1"/>
    </row>
    <row r="661" spans="5:7" ht="14.25" customHeight="1" x14ac:dyDescent="0.25">
      <c r="E661" s="1"/>
      <c r="F661" s="1"/>
      <c r="G661" s="1"/>
    </row>
    <row r="662" spans="5:7" ht="14.25" customHeight="1" x14ac:dyDescent="0.25">
      <c r="E662" s="1"/>
      <c r="F662" s="1"/>
      <c r="G662" s="1"/>
    </row>
    <row r="663" spans="5:7" ht="14.25" customHeight="1" x14ac:dyDescent="0.25">
      <c r="E663" s="1"/>
      <c r="F663" s="1"/>
      <c r="G663" s="1"/>
    </row>
    <row r="664" spans="5:7" ht="14.25" customHeight="1" x14ac:dyDescent="0.25">
      <c r="E664" s="1"/>
      <c r="F664" s="1"/>
      <c r="G664" s="1"/>
    </row>
    <row r="665" spans="5:7" ht="14.25" customHeight="1" x14ac:dyDescent="0.25">
      <c r="E665" s="1"/>
      <c r="F665" s="1"/>
      <c r="G665" s="1"/>
    </row>
    <row r="666" spans="5:7" ht="14.25" customHeight="1" x14ac:dyDescent="0.25">
      <c r="E666" s="1"/>
      <c r="F666" s="1"/>
      <c r="G666" s="1"/>
    </row>
    <row r="667" spans="5:7" ht="14.25" customHeight="1" x14ac:dyDescent="0.25">
      <c r="E667" s="1"/>
      <c r="F667" s="1"/>
      <c r="G667" s="1"/>
    </row>
    <row r="668" spans="5:7" ht="14.25" customHeight="1" x14ac:dyDescent="0.25">
      <c r="E668" s="1"/>
      <c r="F668" s="1"/>
      <c r="G668" s="1"/>
    </row>
    <row r="669" spans="5:7" ht="14.25" customHeight="1" x14ac:dyDescent="0.25">
      <c r="E669" s="1"/>
      <c r="F669" s="1"/>
      <c r="G669" s="1"/>
    </row>
    <row r="670" spans="5:7" ht="14.25" customHeight="1" x14ac:dyDescent="0.25">
      <c r="E670" s="1"/>
      <c r="F670" s="1"/>
      <c r="G670" s="1"/>
    </row>
    <row r="671" spans="5:7" ht="14.25" customHeight="1" x14ac:dyDescent="0.25">
      <c r="E671" s="1"/>
      <c r="F671" s="1"/>
      <c r="G671" s="1"/>
    </row>
    <row r="672" spans="5:7" ht="14.25" customHeight="1" x14ac:dyDescent="0.25">
      <c r="E672" s="1"/>
      <c r="F672" s="1"/>
      <c r="G672" s="1"/>
    </row>
    <row r="673" spans="5:7" ht="14.25" customHeight="1" x14ac:dyDescent="0.25">
      <c r="E673" s="1"/>
      <c r="F673" s="1"/>
      <c r="G673" s="1"/>
    </row>
    <row r="674" spans="5:7" ht="14.25" customHeight="1" x14ac:dyDescent="0.25">
      <c r="E674" s="1"/>
      <c r="F674" s="1"/>
      <c r="G674" s="1"/>
    </row>
    <row r="675" spans="5:7" ht="14.25" customHeight="1" x14ac:dyDescent="0.25">
      <c r="E675" s="1"/>
      <c r="F675" s="1"/>
      <c r="G675" s="1"/>
    </row>
    <row r="676" spans="5:7" ht="14.25" customHeight="1" x14ac:dyDescent="0.25">
      <c r="E676" s="1"/>
      <c r="F676" s="1"/>
      <c r="G676" s="1"/>
    </row>
    <row r="677" spans="5:7" ht="14.25" customHeight="1" x14ac:dyDescent="0.25">
      <c r="E677" s="1"/>
      <c r="F677" s="1"/>
      <c r="G677" s="1"/>
    </row>
    <row r="678" spans="5:7" ht="14.25" customHeight="1" x14ac:dyDescent="0.25">
      <c r="E678" s="1"/>
      <c r="F678" s="1"/>
      <c r="G678" s="1"/>
    </row>
    <row r="679" spans="5:7" ht="14.25" customHeight="1" x14ac:dyDescent="0.25">
      <c r="E679" s="1"/>
      <c r="F679" s="1"/>
      <c r="G679" s="1"/>
    </row>
    <row r="680" spans="5:7" ht="14.25" customHeight="1" x14ac:dyDescent="0.25">
      <c r="E680" s="1"/>
      <c r="F680" s="1"/>
      <c r="G680" s="1"/>
    </row>
    <row r="681" spans="5:7" ht="14.25" customHeight="1" x14ac:dyDescent="0.25">
      <c r="E681" s="1"/>
      <c r="F681" s="1"/>
      <c r="G681" s="1"/>
    </row>
    <row r="682" spans="5:7" ht="14.25" customHeight="1" x14ac:dyDescent="0.25">
      <c r="E682" s="1"/>
      <c r="F682" s="1"/>
      <c r="G682" s="1"/>
    </row>
    <row r="683" spans="5:7" ht="14.25" customHeight="1" x14ac:dyDescent="0.25">
      <c r="E683" s="1"/>
      <c r="F683" s="1"/>
      <c r="G683" s="1"/>
    </row>
    <row r="684" spans="5:7" ht="14.25" customHeight="1" x14ac:dyDescent="0.25">
      <c r="E684" s="1"/>
      <c r="F684" s="1"/>
      <c r="G684" s="1"/>
    </row>
    <row r="685" spans="5:7" ht="14.25" customHeight="1" x14ac:dyDescent="0.25">
      <c r="E685" s="1"/>
      <c r="F685" s="1"/>
      <c r="G685" s="1"/>
    </row>
    <row r="686" spans="5:7" ht="14.25" customHeight="1" x14ac:dyDescent="0.25">
      <c r="E686" s="1"/>
      <c r="F686" s="1"/>
      <c r="G686" s="1"/>
    </row>
    <row r="687" spans="5:7" ht="14.25" customHeight="1" x14ac:dyDescent="0.25">
      <c r="E687" s="1"/>
      <c r="F687" s="1"/>
      <c r="G687" s="1"/>
    </row>
    <row r="688" spans="5:7" ht="14.25" customHeight="1" x14ac:dyDescent="0.25">
      <c r="E688" s="1"/>
      <c r="F688" s="1"/>
      <c r="G688" s="1"/>
    </row>
    <row r="689" spans="5:7" ht="14.25" customHeight="1" x14ac:dyDescent="0.25">
      <c r="E689" s="1"/>
      <c r="F689" s="1"/>
      <c r="G689" s="1"/>
    </row>
    <row r="690" spans="5:7" ht="14.25" customHeight="1" x14ac:dyDescent="0.25">
      <c r="E690" s="1"/>
      <c r="F690" s="1"/>
      <c r="G690" s="1"/>
    </row>
    <row r="691" spans="5:7" ht="14.25" customHeight="1" x14ac:dyDescent="0.25">
      <c r="E691" s="1"/>
      <c r="F691" s="1"/>
      <c r="G691" s="1"/>
    </row>
    <row r="692" spans="5:7" ht="14.25" customHeight="1" x14ac:dyDescent="0.25">
      <c r="E692" s="1"/>
      <c r="F692" s="1"/>
      <c r="G692" s="1"/>
    </row>
    <row r="693" spans="5:7" ht="14.25" customHeight="1" x14ac:dyDescent="0.25">
      <c r="E693" s="1"/>
      <c r="F693" s="1"/>
      <c r="G693" s="1"/>
    </row>
    <row r="694" spans="5:7" ht="14.25" customHeight="1" x14ac:dyDescent="0.25">
      <c r="E694" s="1"/>
      <c r="F694" s="1"/>
      <c r="G694" s="1"/>
    </row>
    <row r="695" spans="5:7" ht="14.25" customHeight="1" x14ac:dyDescent="0.25">
      <c r="E695" s="1"/>
      <c r="F695" s="1"/>
      <c r="G695" s="1"/>
    </row>
    <row r="696" spans="5:7" ht="14.25" customHeight="1" x14ac:dyDescent="0.25">
      <c r="E696" s="1"/>
      <c r="F696" s="1"/>
      <c r="G696" s="1"/>
    </row>
    <row r="697" spans="5:7" ht="14.25" customHeight="1" x14ac:dyDescent="0.25">
      <c r="E697" s="1"/>
      <c r="F697" s="1"/>
      <c r="G697" s="1"/>
    </row>
    <row r="698" spans="5:7" ht="14.25" customHeight="1" x14ac:dyDescent="0.25">
      <c r="E698" s="1"/>
      <c r="F698" s="1"/>
      <c r="G698" s="1"/>
    </row>
    <row r="699" spans="5:7" ht="14.25" customHeight="1" x14ac:dyDescent="0.25">
      <c r="E699" s="1"/>
      <c r="F699" s="1"/>
      <c r="G699" s="1"/>
    </row>
    <row r="700" spans="5:7" ht="14.25" customHeight="1" x14ac:dyDescent="0.25">
      <c r="E700" s="1"/>
      <c r="F700" s="1"/>
      <c r="G700" s="1"/>
    </row>
    <row r="701" spans="5:7" ht="14.25" customHeight="1" x14ac:dyDescent="0.25">
      <c r="E701" s="1"/>
      <c r="F701" s="1"/>
      <c r="G701" s="1"/>
    </row>
    <row r="702" spans="5:7" ht="14.25" customHeight="1" x14ac:dyDescent="0.25">
      <c r="E702" s="1"/>
      <c r="F702" s="1"/>
      <c r="G702" s="1"/>
    </row>
    <row r="703" spans="5:7" ht="14.25" customHeight="1" x14ac:dyDescent="0.25">
      <c r="E703" s="1"/>
      <c r="F703" s="1"/>
      <c r="G703" s="1"/>
    </row>
    <row r="704" spans="5:7" ht="14.25" customHeight="1" x14ac:dyDescent="0.25">
      <c r="E704" s="1"/>
      <c r="F704" s="1"/>
      <c r="G704" s="1"/>
    </row>
    <row r="705" spans="5:7" ht="14.25" customHeight="1" x14ac:dyDescent="0.25">
      <c r="E705" s="1"/>
      <c r="F705" s="1"/>
      <c r="G705" s="1"/>
    </row>
    <row r="706" spans="5:7" ht="14.25" customHeight="1" x14ac:dyDescent="0.25">
      <c r="E706" s="1"/>
      <c r="F706" s="1"/>
      <c r="G706" s="1"/>
    </row>
    <row r="707" spans="5:7" ht="14.25" customHeight="1" x14ac:dyDescent="0.25">
      <c r="E707" s="1"/>
      <c r="F707" s="1"/>
      <c r="G707" s="1"/>
    </row>
    <row r="708" spans="5:7" ht="14.25" customHeight="1" x14ac:dyDescent="0.25">
      <c r="E708" s="1"/>
      <c r="F708" s="1"/>
      <c r="G708" s="1"/>
    </row>
    <row r="709" spans="5:7" ht="14.25" customHeight="1" x14ac:dyDescent="0.25">
      <c r="E709" s="1"/>
      <c r="F709" s="1"/>
      <c r="G709" s="1"/>
    </row>
    <row r="710" spans="5:7" ht="14.25" customHeight="1" x14ac:dyDescent="0.25">
      <c r="E710" s="1"/>
      <c r="F710" s="1"/>
      <c r="G710" s="1"/>
    </row>
    <row r="711" spans="5:7" ht="14.25" customHeight="1" x14ac:dyDescent="0.25">
      <c r="E711" s="1"/>
      <c r="F711" s="1"/>
      <c r="G711" s="1"/>
    </row>
    <row r="712" spans="5:7" ht="14.25" customHeight="1" x14ac:dyDescent="0.25">
      <c r="E712" s="1"/>
      <c r="F712" s="1"/>
      <c r="G712" s="1"/>
    </row>
    <row r="713" spans="5:7" ht="14.25" customHeight="1" x14ac:dyDescent="0.25">
      <c r="E713" s="1"/>
      <c r="F713" s="1"/>
      <c r="G713" s="1"/>
    </row>
    <row r="714" spans="5:7" ht="14.25" customHeight="1" x14ac:dyDescent="0.25">
      <c r="E714" s="1"/>
      <c r="F714" s="1"/>
      <c r="G714" s="1"/>
    </row>
    <row r="715" spans="5:7" ht="14.25" customHeight="1" x14ac:dyDescent="0.25">
      <c r="E715" s="1"/>
      <c r="F715" s="1"/>
      <c r="G715" s="1"/>
    </row>
    <row r="716" spans="5:7" ht="14.25" customHeight="1" x14ac:dyDescent="0.25">
      <c r="E716" s="1"/>
      <c r="F716" s="1"/>
      <c r="G716" s="1"/>
    </row>
    <row r="717" spans="5:7" ht="14.25" customHeight="1" x14ac:dyDescent="0.25">
      <c r="E717" s="1"/>
      <c r="F717" s="1"/>
      <c r="G717" s="1"/>
    </row>
    <row r="718" spans="5:7" ht="14.25" customHeight="1" x14ac:dyDescent="0.25">
      <c r="E718" s="1"/>
      <c r="F718" s="1"/>
      <c r="G718" s="1"/>
    </row>
    <row r="719" spans="5:7" ht="14.25" customHeight="1" x14ac:dyDescent="0.25">
      <c r="E719" s="1"/>
      <c r="F719" s="1"/>
      <c r="G719" s="1"/>
    </row>
    <row r="720" spans="5:7" ht="14.25" customHeight="1" x14ac:dyDescent="0.25">
      <c r="E720" s="1"/>
      <c r="F720" s="1"/>
      <c r="G720" s="1"/>
    </row>
    <row r="721" spans="5:7" ht="14.25" customHeight="1" x14ac:dyDescent="0.25">
      <c r="E721" s="1"/>
      <c r="F721" s="1"/>
      <c r="G721" s="1"/>
    </row>
    <row r="722" spans="5:7" ht="14.25" customHeight="1" x14ac:dyDescent="0.25">
      <c r="E722" s="1"/>
      <c r="F722" s="1"/>
      <c r="G722" s="1"/>
    </row>
    <row r="723" spans="5:7" ht="14.25" customHeight="1" x14ac:dyDescent="0.25">
      <c r="E723" s="1"/>
      <c r="F723" s="1"/>
      <c r="G723" s="1"/>
    </row>
    <row r="724" spans="5:7" ht="14.25" customHeight="1" x14ac:dyDescent="0.25">
      <c r="E724" s="1"/>
      <c r="F724" s="1"/>
      <c r="G724" s="1"/>
    </row>
    <row r="725" spans="5:7" ht="14.25" customHeight="1" x14ac:dyDescent="0.25">
      <c r="E725" s="1"/>
      <c r="F725" s="1"/>
      <c r="G725" s="1"/>
    </row>
    <row r="726" spans="5:7" ht="14.25" customHeight="1" x14ac:dyDescent="0.25">
      <c r="E726" s="1"/>
      <c r="F726" s="1"/>
      <c r="G726" s="1"/>
    </row>
    <row r="727" spans="5:7" ht="14.25" customHeight="1" x14ac:dyDescent="0.25">
      <c r="E727" s="1"/>
      <c r="F727" s="1"/>
      <c r="G727" s="1"/>
    </row>
    <row r="728" spans="5:7" ht="14.25" customHeight="1" x14ac:dyDescent="0.25">
      <c r="E728" s="1"/>
      <c r="F728" s="1"/>
      <c r="G728" s="1"/>
    </row>
    <row r="729" spans="5:7" ht="14.25" customHeight="1" x14ac:dyDescent="0.25">
      <c r="E729" s="1"/>
      <c r="F729" s="1"/>
      <c r="G729" s="1"/>
    </row>
    <row r="730" spans="5:7" ht="14.25" customHeight="1" x14ac:dyDescent="0.25">
      <c r="E730" s="1"/>
      <c r="F730" s="1"/>
      <c r="G730" s="1"/>
    </row>
    <row r="731" spans="5:7" ht="14.25" customHeight="1" x14ac:dyDescent="0.25">
      <c r="E731" s="1"/>
      <c r="F731" s="1"/>
      <c r="G731" s="1"/>
    </row>
    <row r="732" spans="5:7" ht="14.25" customHeight="1" x14ac:dyDescent="0.25">
      <c r="E732" s="1"/>
      <c r="F732" s="1"/>
      <c r="G732" s="1"/>
    </row>
    <row r="733" spans="5:7" ht="14.25" customHeight="1" x14ac:dyDescent="0.25">
      <c r="E733" s="1"/>
      <c r="F733" s="1"/>
      <c r="G733" s="1"/>
    </row>
    <row r="734" spans="5:7" ht="14.25" customHeight="1" x14ac:dyDescent="0.25">
      <c r="E734" s="1"/>
      <c r="F734" s="1"/>
      <c r="G734" s="1"/>
    </row>
    <row r="735" spans="5:7" ht="14.25" customHeight="1" x14ac:dyDescent="0.25">
      <c r="E735" s="1"/>
      <c r="F735" s="1"/>
      <c r="G735" s="1"/>
    </row>
    <row r="736" spans="5:7" ht="14.25" customHeight="1" x14ac:dyDescent="0.25">
      <c r="E736" s="1"/>
      <c r="F736" s="1"/>
      <c r="G736" s="1"/>
    </row>
    <row r="737" spans="5:7" ht="14.25" customHeight="1" x14ac:dyDescent="0.25">
      <c r="E737" s="1"/>
      <c r="F737" s="1"/>
      <c r="G737" s="1"/>
    </row>
    <row r="738" spans="5:7" ht="14.25" customHeight="1" x14ac:dyDescent="0.25">
      <c r="E738" s="1"/>
      <c r="F738" s="1"/>
      <c r="G738" s="1"/>
    </row>
    <row r="739" spans="5:7" ht="14.25" customHeight="1" x14ac:dyDescent="0.25">
      <c r="E739" s="1"/>
      <c r="F739" s="1"/>
      <c r="G739" s="1"/>
    </row>
    <row r="740" spans="5:7" ht="14.25" customHeight="1" x14ac:dyDescent="0.25">
      <c r="E740" s="1"/>
      <c r="F740" s="1"/>
      <c r="G740" s="1"/>
    </row>
    <row r="741" spans="5:7" ht="14.25" customHeight="1" x14ac:dyDescent="0.25">
      <c r="E741" s="1"/>
      <c r="F741" s="1"/>
      <c r="G741" s="1"/>
    </row>
    <row r="742" spans="5:7" ht="14.25" customHeight="1" x14ac:dyDescent="0.25">
      <c r="E742" s="1"/>
      <c r="F742" s="1"/>
      <c r="G742" s="1"/>
    </row>
    <row r="743" spans="5:7" ht="14.25" customHeight="1" x14ac:dyDescent="0.25">
      <c r="E743" s="1"/>
      <c r="F743" s="1"/>
      <c r="G743" s="1"/>
    </row>
    <row r="744" spans="5:7" ht="14.25" customHeight="1" x14ac:dyDescent="0.25">
      <c r="E744" s="1"/>
      <c r="F744" s="1"/>
      <c r="G744" s="1"/>
    </row>
    <row r="745" spans="5:7" ht="14.25" customHeight="1" x14ac:dyDescent="0.25">
      <c r="E745" s="1"/>
      <c r="F745" s="1"/>
      <c r="G745" s="1"/>
    </row>
    <row r="746" spans="5:7" ht="14.25" customHeight="1" x14ac:dyDescent="0.25">
      <c r="E746" s="1"/>
      <c r="F746" s="1"/>
      <c r="G746" s="1"/>
    </row>
    <row r="747" spans="5:7" ht="14.25" customHeight="1" x14ac:dyDescent="0.25">
      <c r="E747" s="1"/>
      <c r="F747" s="1"/>
      <c r="G747" s="1"/>
    </row>
    <row r="748" spans="5:7" ht="14.25" customHeight="1" x14ac:dyDescent="0.25">
      <c r="E748" s="1"/>
      <c r="F748" s="1"/>
      <c r="G748" s="1"/>
    </row>
    <row r="749" spans="5:7" ht="14.25" customHeight="1" x14ac:dyDescent="0.25">
      <c r="E749" s="1"/>
      <c r="F749" s="1"/>
      <c r="G749" s="1"/>
    </row>
    <row r="750" spans="5:7" ht="14.25" customHeight="1" x14ac:dyDescent="0.25">
      <c r="E750" s="1"/>
      <c r="F750" s="1"/>
      <c r="G750" s="1"/>
    </row>
    <row r="751" spans="5:7" ht="14.25" customHeight="1" x14ac:dyDescent="0.25">
      <c r="E751" s="1"/>
      <c r="F751" s="1"/>
      <c r="G751" s="1"/>
    </row>
    <row r="752" spans="5:7" ht="14.25" customHeight="1" x14ac:dyDescent="0.25">
      <c r="E752" s="1"/>
      <c r="F752" s="1"/>
      <c r="G752" s="1"/>
    </row>
    <row r="753" spans="5:7" ht="14.25" customHeight="1" x14ac:dyDescent="0.25">
      <c r="E753" s="1"/>
      <c r="F753" s="1"/>
      <c r="G753" s="1"/>
    </row>
    <row r="754" spans="5:7" ht="14.25" customHeight="1" x14ac:dyDescent="0.25">
      <c r="E754" s="1"/>
      <c r="F754" s="1"/>
      <c r="G754" s="1"/>
    </row>
    <row r="755" spans="5:7" ht="14.25" customHeight="1" x14ac:dyDescent="0.25">
      <c r="E755" s="1"/>
      <c r="F755" s="1"/>
      <c r="G755" s="1"/>
    </row>
    <row r="756" spans="5:7" ht="14.25" customHeight="1" x14ac:dyDescent="0.25">
      <c r="E756" s="1"/>
      <c r="F756" s="1"/>
      <c r="G756" s="1"/>
    </row>
    <row r="757" spans="5:7" ht="14.25" customHeight="1" x14ac:dyDescent="0.25">
      <c r="E757" s="1"/>
      <c r="F757" s="1"/>
      <c r="G757" s="1"/>
    </row>
    <row r="758" spans="5:7" ht="14.25" customHeight="1" x14ac:dyDescent="0.25">
      <c r="E758" s="1"/>
      <c r="F758" s="1"/>
      <c r="G758" s="1"/>
    </row>
    <row r="759" spans="5:7" ht="14.25" customHeight="1" x14ac:dyDescent="0.25">
      <c r="E759" s="1"/>
      <c r="F759" s="1"/>
      <c r="G759" s="1"/>
    </row>
    <row r="760" spans="5:7" ht="14.25" customHeight="1" x14ac:dyDescent="0.25">
      <c r="E760" s="1"/>
      <c r="F760" s="1"/>
      <c r="G760" s="1"/>
    </row>
    <row r="761" spans="5:7" ht="14.25" customHeight="1" x14ac:dyDescent="0.25">
      <c r="E761" s="1"/>
      <c r="F761" s="1"/>
      <c r="G761" s="1"/>
    </row>
    <row r="762" spans="5:7" ht="14.25" customHeight="1" x14ac:dyDescent="0.25">
      <c r="E762" s="1"/>
      <c r="F762" s="1"/>
      <c r="G762" s="1"/>
    </row>
    <row r="763" spans="5:7" ht="14.25" customHeight="1" x14ac:dyDescent="0.25">
      <c r="E763" s="1"/>
      <c r="F763" s="1"/>
      <c r="G763" s="1"/>
    </row>
    <row r="764" spans="5:7" ht="14.25" customHeight="1" x14ac:dyDescent="0.25">
      <c r="E764" s="1"/>
      <c r="F764" s="1"/>
      <c r="G764" s="1"/>
    </row>
    <row r="765" spans="5:7" ht="14.25" customHeight="1" x14ac:dyDescent="0.25">
      <c r="E765" s="1"/>
      <c r="F765" s="1"/>
      <c r="G765" s="1"/>
    </row>
    <row r="766" spans="5:7" ht="14.25" customHeight="1" x14ac:dyDescent="0.25">
      <c r="E766" s="1"/>
      <c r="F766" s="1"/>
      <c r="G766" s="1"/>
    </row>
    <row r="767" spans="5:7" ht="14.25" customHeight="1" x14ac:dyDescent="0.25">
      <c r="E767" s="1"/>
      <c r="F767" s="1"/>
      <c r="G767" s="1"/>
    </row>
    <row r="768" spans="5:7" ht="14.25" customHeight="1" x14ac:dyDescent="0.25">
      <c r="E768" s="1"/>
      <c r="F768" s="1"/>
      <c r="G768" s="1"/>
    </row>
    <row r="769" spans="5:7" ht="14.25" customHeight="1" x14ac:dyDescent="0.25">
      <c r="E769" s="1"/>
      <c r="F769" s="1"/>
      <c r="G769" s="1"/>
    </row>
    <row r="770" spans="5:7" ht="14.25" customHeight="1" x14ac:dyDescent="0.25">
      <c r="E770" s="1"/>
      <c r="F770" s="1"/>
      <c r="G770" s="1"/>
    </row>
    <row r="771" spans="5:7" ht="14.25" customHeight="1" x14ac:dyDescent="0.25">
      <c r="E771" s="1"/>
      <c r="F771" s="1"/>
      <c r="G771" s="1"/>
    </row>
    <row r="772" spans="5:7" ht="14.25" customHeight="1" x14ac:dyDescent="0.25">
      <c r="E772" s="1"/>
      <c r="F772" s="1"/>
      <c r="G772" s="1"/>
    </row>
    <row r="773" spans="5:7" ht="14.25" customHeight="1" x14ac:dyDescent="0.25">
      <c r="E773" s="1"/>
      <c r="F773" s="1"/>
      <c r="G773" s="1"/>
    </row>
    <row r="774" spans="5:7" ht="14.25" customHeight="1" x14ac:dyDescent="0.25">
      <c r="E774" s="1"/>
      <c r="F774" s="1"/>
      <c r="G774" s="1"/>
    </row>
    <row r="775" spans="5:7" ht="14.25" customHeight="1" x14ac:dyDescent="0.25">
      <c r="E775" s="1"/>
      <c r="F775" s="1"/>
      <c r="G775" s="1"/>
    </row>
    <row r="776" spans="5:7" ht="14.25" customHeight="1" x14ac:dyDescent="0.25">
      <c r="E776" s="1"/>
      <c r="F776" s="1"/>
      <c r="G776" s="1"/>
    </row>
    <row r="777" spans="5:7" ht="14.25" customHeight="1" x14ac:dyDescent="0.25">
      <c r="E777" s="1"/>
      <c r="F777" s="1"/>
      <c r="G777" s="1"/>
    </row>
    <row r="778" spans="5:7" ht="14.25" customHeight="1" x14ac:dyDescent="0.25">
      <c r="E778" s="1"/>
      <c r="F778" s="1"/>
      <c r="G778" s="1"/>
    </row>
    <row r="779" spans="5:7" ht="14.25" customHeight="1" x14ac:dyDescent="0.25">
      <c r="E779" s="1"/>
      <c r="F779" s="1"/>
      <c r="G779" s="1"/>
    </row>
    <row r="780" spans="5:7" ht="14.25" customHeight="1" x14ac:dyDescent="0.25">
      <c r="E780" s="1"/>
      <c r="F780" s="1"/>
      <c r="G780" s="1"/>
    </row>
    <row r="781" spans="5:7" ht="14.25" customHeight="1" x14ac:dyDescent="0.25">
      <c r="E781" s="1"/>
      <c r="F781" s="1"/>
      <c r="G781" s="1"/>
    </row>
    <row r="782" spans="5:7" ht="14.25" customHeight="1" x14ac:dyDescent="0.25">
      <c r="E782" s="1"/>
      <c r="F782" s="1"/>
      <c r="G782" s="1"/>
    </row>
    <row r="783" spans="5:7" ht="14.25" customHeight="1" x14ac:dyDescent="0.25">
      <c r="E783" s="1"/>
      <c r="F783" s="1"/>
      <c r="G783" s="1"/>
    </row>
    <row r="784" spans="5:7" ht="14.25" customHeight="1" x14ac:dyDescent="0.25">
      <c r="E784" s="1"/>
      <c r="F784" s="1"/>
      <c r="G784" s="1"/>
    </row>
    <row r="785" spans="5:7" ht="14.25" customHeight="1" x14ac:dyDescent="0.25">
      <c r="E785" s="1"/>
      <c r="F785" s="1"/>
      <c r="G785" s="1"/>
    </row>
    <row r="786" spans="5:7" ht="14.25" customHeight="1" x14ac:dyDescent="0.25">
      <c r="E786" s="1"/>
      <c r="F786" s="1"/>
      <c r="G786" s="1"/>
    </row>
    <row r="787" spans="5:7" ht="14.25" customHeight="1" x14ac:dyDescent="0.25">
      <c r="E787" s="1"/>
      <c r="F787" s="1"/>
      <c r="G787" s="1"/>
    </row>
    <row r="788" spans="5:7" ht="14.25" customHeight="1" x14ac:dyDescent="0.25">
      <c r="E788" s="1"/>
      <c r="F788" s="1"/>
      <c r="G788" s="1"/>
    </row>
    <row r="789" spans="5:7" ht="14.25" customHeight="1" x14ac:dyDescent="0.25">
      <c r="E789" s="1"/>
      <c r="F789" s="1"/>
      <c r="G789" s="1"/>
    </row>
    <row r="790" spans="5:7" ht="14.25" customHeight="1" x14ac:dyDescent="0.25">
      <c r="E790" s="1"/>
      <c r="F790" s="1"/>
      <c r="G790" s="1"/>
    </row>
    <row r="791" spans="5:7" ht="14.25" customHeight="1" x14ac:dyDescent="0.25">
      <c r="E791" s="1"/>
      <c r="F791" s="1"/>
      <c r="G791" s="1"/>
    </row>
    <row r="792" spans="5:7" ht="14.25" customHeight="1" x14ac:dyDescent="0.25">
      <c r="E792" s="1"/>
      <c r="F792" s="1"/>
      <c r="G792" s="1"/>
    </row>
    <row r="793" spans="5:7" ht="14.25" customHeight="1" x14ac:dyDescent="0.25">
      <c r="E793" s="1"/>
      <c r="F793" s="1"/>
      <c r="G793" s="1"/>
    </row>
    <row r="794" spans="5:7" ht="14.25" customHeight="1" x14ac:dyDescent="0.25">
      <c r="E794" s="1"/>
      <c r="F794" s="1"/>
      <c r="G794" s="1"/>
    </row>
    <row r="795" spans="5:7" ht="14.25" customHeight="1" x14ac:dyDescent="0.25">
      <c r="E795" s="1"/>
      <c r="F795" s="1"/>
      <c r="G795" s="1"/>
    </row>
    <row r="796" spans="5:7" ht="14.25" customHeight="1" x14ac:dyDescent="0.25">
      <c r="E796" s="1"/>
      <c r="F796" s="1"/>
      <c r="G796" s="1"/>
    </row>
    <row r="797" spans="5:7" ht="14.25" customHeight="1" x14ac:dyDescent="0.25">
      <c r="E797" s="1"/>
      <c r="F797" s="1"/>
      <c r="G797" s="1"/>
    </row>
    <row r="798" spans="5:7" ht="14.25" customHeight="1" x14ac:dyDescent="0.25">
      <c r="E798" s="1"/>
      <c r="F798" s="1"/>
      <c r="G798" s="1"/>
    </row>
    <row r="799" spans="5:7" ht="14.25" customHeight="1" x14ac:dyDescent="0.25">
      <c r="E799" s="1"/>
      <c r="F799" s="1"/>
      <c r="G799" s="1"/>
    </row>
    <row r="800" spans="5:7" ht="14.25" customHeight="1" x14ac:dyDescent="0.25">
      <c r="E800" s="1"/>
      <c r="F800" s="1"/>
      <c r="G800" s="1"/>
    </row>
    <row r="801" spans="5:7" ht="14.25" customHeight="1" x14ac:dyDescent="0.25">
      <c r="E801" s="1"/>
      <c r="F801" s="1"/>
      <c r="G801" s="1"/>
    </row>
    <row r="802" spans="5:7" ht="14.25" customHeight="1" x14ac:dyDescent="0.25">
      <c r="E802" s="1"/>
      <c r="F802" s="1"/>
      <c r="G802" s="1"/>
    </row>
    <row r="803" spans="5:7" ht="14.25" customHeight="1" x14ac:dyDescent="0.25">
      <c r="E803" s="1"/>
      <c r="F803" s="1"/>
      <c r="G803" s="1"/>
    </row>
    <row r="804" spans="5:7" ht="14.25" customHeight="1" x14ac:dyDescent="0.25">
      <c r="E804" s="1"/>
      <c r="F804" s="1"/>
      <c r="G804" s="1"/>
    </row>
    <row r="805" spans="5:7" ht="14.25" customHeight="1" x14ac:dyDescent="0.25">
      <c r="E805" s="1"/>
      <c r="F805" s="1"/>
      <c r="G805" s="1"/>
    </row>
    <row r="806" spans="5:7" ht="14.25" customHeight="1" x14ac:dyDescent="0.25">
      <c r="E806" s="1"/>
      <c r="F806" s="1"/>
      <c r="G806" s="1"/>
    </row>
    <row r="807" spans="5:7" ht="14.25" customHeight="1" x14ac:dyDescent="0.25">
      <c r="E807" s="1"/>
      <c r="F807" s="1"/>
      <c r="G807" s="1"/>
    </row>
    <row r="808" spans="5:7" ht="14.25" customHeight="1" x14ac:dyDescent="0.25">
      <c r="E808" s="1"/>
      <c r="F808" s="1"/>
      <c r="G808" s="1"/>
    </row>
    <row r="809" spans="5:7" ht="14.25" customHeight="1" x14ac:dyDescent="0.25">
      <c r="E809" s="1"/>
      <c r="F809" s="1"/>
      <c r="G809" s="1"/>
    </row>
    <row r="810" spans="5:7" ht="14.25" customHeight="1" x14ac:dyDescent="0.25">
      <c r="E810" s="1"/>
      <c r="F810" s="1"/>
      <c r="G810" s="1"/>
    </row>
    <row r="811" spans="5:7" ht="14.25" customHeight="1" x14ac:dyDescent="0.25">
      <c r="E811" s="1"/>
      <c r="F811" s="1"/>
      <c r="G811" s="1"/>
    </row>
    <row r="812" spans="5:7" ht="14.25" customHeight="1" x14ac:dyDescent="0.25">
      <c r="E812" s="1"/>
      <c r="F812" s="1"/>
      <c r="G812" s="1"/>
    </row>
    <row r="813" spans="5:7" ht="14.25" customHeight="1" x14ac:dyDescent="0.25">
      <c r="E813" s="1"/>
      <c r="F813" s="1"/>
      <c r="G813" s="1"/>
    </row>
    <row r="814" spans="5:7" ht="14.25" customHeight="1" x14ac:dyDescent="0.25">
      <c r="E814" s="1"/>
      <c r="F814" s="1"/>
      <c r="G814" s="1"/>
    </row>
    <row r="815" spans="5:7" ht="14.25" customHeight="1" x14ac:dyDescent="0.25">
      <c r="E815" s="1"/>
      <c r="F815" s="1"/>
      <c r="G815" s="1"/>
    </row>
    <row r="816" spans="5:7" ht="14.25" customHeight="1" x14ac:dyDescent="0.25">
      <c r="E816" s="1"/>
      <c r="F816" s="1"/>
      <c r="G816" s="1"/>
    </row>
    <row r="817" spans="5:7" ht="14.25" customHeight="1" x14ac:dyDescent="0.25">
      <c r="E817" s="1"/>
      <c r="F817" s="1"/>
      <c r="G817" s="1"/>
    </row>
    <row r="818" spans="5:7" ht="14.25" customHeight="1" x14ac:dyDescent="0.25">
      <c r="E818" s="1"/>
      <c r="F818" s="1"/>
      <c r="G818" s="1"/>
    </row>
    <row r="819" spans="5:7" ht="14.25" customHeight="1" x14ac:dyDescent="0.25">
      <c r="E819" s="1"/>
      <c r="F819" s="1"/>
      <c r="G819" s="1"/>
    </row>
    <row r="820" spans="5:7" ht="14.25" customHeight="1" x14ac:dyDescent="0.25">
      <c r="E820" s="1"/>
      <c r="F820" s="1"/>
      <c r="G820" s="1"/>
    </row>
    <row r="821" spans="5:7" ht="14.25" customHeight="1" x14ac:dyDescent="0.25">
      <c r="E821" s="1"/>
      <c r="F821" s="1"/>
      <c r="G821" s="1"/>
    </row>
    <row r="822" spans="5:7" ht="14.25" customHeight="1" x14ac:dyDescent="0.25">
      <c r="E822" s="1"/>
      <c r="F822" s="1"/>
      <c r="G822" s="1"/>
    </row>
    <row r="823" spans="5:7" ht="14.25" customHeight="1" x14ac:dyDescent="0.25">
      <c r="E823" s="1"/>
      <c r="F823" s="1"/>
      <c r="G823" s="1"/>
    </row>
    <row r="824" spans="5:7" ht="14.25" customHeight="1" x14ac:dyDescent="0.25">
      <c r="E824" s="1"/>
      <c r="F824" s="1"/>
      <c r="G824" s="1"/>
    </row>
    <row r="825" spans="5:7" ht="14.25" customHeight="1" x14ac:dyDescent="0.25">
      <c r="E825" s="1"/>
      <c r="F825" s="1"/>
      <c r="G825" s="1"/>
    </row>
    <row r="826" spans="5:7" ht="14.25" customHeight="1" x14ac:dyDescent="0.25">
      <c r="E826" s="1"/>
      <c r="F826" s="1"/>
      <c r="G826" s="1"/>
    </row>
    <row r="827" spans="5:7" ht="14.25" customHeight="1" x14ac:dyDescent="0.25">
      <c r="E827" s="1"/>
      <c r="F827" s="1"/>
      <c r="G827" s="1"/>
    </row>
    <row r="828" spans="5:7" ht="14.25" customHeight="1" x14ac:dyDescent="0.25">
      <c r="E828" s="1"/>
      <c r="F828" s="1"/>
      <c r="G828" s="1"/>
    </row>
    <row r="829" spans="5:7" ht="14.25" customHeight="1" x14ac:dyDescent="0.25">
      <c r="E829" s="1"/>
      <c r="F829" s="1"/>
      <c r="G829" s="1"/>
    </row>
    <row r="830" spans="5:7" ht="14.25" customHeight="1" x14ac:dyDescent="0.25">
      <c r="E830" s="1"/>
      <c r="F830" s="1"/>
      <c r="G830" s="1"/>
    </row>
    <row r="831" spans="5:7" ht="14.25" customHeight="1" x14ac:dyDescent="0.25">
      <c r="E831" s="1"/>
      <c r="F831" s="1"/>
      <c r="G831" s="1"/>
    </row>
    <row r="832" spans="5:7" ht="14.25" customHeight="1" x14ac:dyDescent="0.25">
      <c r="E832" s="1"/>
      <c r="F832" s="1"/>
      <c r="G832" s="1"/>
    </row>
    <row r="833" spans="5:7" ht="14.25" customHeight="1" x14ac:dyDescent="0.25">
      <c r="E833" s="1"/>
      <c r="F833" s="1"/>
      <c r="G833" s="1"/>
    </row>
    <row r="834" spans="5:7" ht="14.25" customHeight="1" x14ac:dyDescent="0.25">
      <c r="E834" s="1"/>
      <c r="F834" s="1"/>
      <c r="G834" s="1"/>
    </row>
    <row r="835" spans="5:7" ht="14.25" customHeight="1" x14ac:dyDescent="0.25">
      <c r="E835" s="1"/>
      <c r="F835" s="1"/>
      <c r="G835" s="1"/>
    </row>
    <row r="836" spans="5:7" ht="14.25" customHeight="1" x14ac:dyDescent="0.25">
      <c r="E836" s="1"/>
      <c r="F836" s="1"/>
      <c r="G836" s="1"/>
    </row>
    <row r="837" spans="5:7" ht="14.25" customHeight="1" x14ac:dyDescent="0.25">
      <c r="E837" s="1"/>
      <c r="F837" s="1"/>
      <c r="G837" s="1"/>
    </row>
    <row r="838" spans="5:7" ht="14.25" customHeight="1" x14ac:dyDescent="0.25">
      <c r="E838" s="1"/>
      <c r="F838" s="1"/>
      <c r="G838" s="1"/>
    </row>
    <row r="839" spans="5:7" ht="14.25" customHeight="1" x14ac:dyDescent="0.25">
      <c r="E839" s="1"/>
      <c r="F839" s="1"/>
      <c r="G839" s="1"/>
    </row>
    <row r="840" spans="5:7" ht="14.25" customHeight="1" x14ac:dyDescent="0.25">
      <c r="E840" s="1"/>
      <c r="F840" s="1"/>
      <c r="G840" s="1"/>
    </row>
    <row r="841" spans="5:7" ht="14.25" customHeight="1" x14ac:dyDescent="0.25">
      <c r="E841" s="1"/>
      <c r="F841" s="1"/>
      <c r="G841" s="1"/>
    </row>
    <row r="842" spans="5:7" ht="14.25" customHeight="1" x14ac:dyDescent="0.25">
      <c r="E842" s="1"/>
      <c r="F842" s="1"/>
      <c r="G842" s="1"/>
    </row>
    <row r="843" spans="5:7" ht="14.25" customHeight="1" x14ac:dyDescent="0.25">
      <c r="E843" s="1"/>
      <c r="F843" s="1"/>
      <c r="G843" s="1"/>
    </row>
    <row r="844" spans="5:7" ht="14.25" customHeight="1" x14ac:dyDescent="0.25">
      <c r="E844" s="1"/>
      <c r="F844" s="1"/>
      <c r="G844" s="1"/>
    </row>
    <row r="845" spans="5:7" ht="14.25" customHeight="1" x14ac:dyDescent="0.25">
      <c r="E845" s="1"/>
      <c r="F845" s="1"/>
      <c r="G845" s="1"/>
    </row>
    <row r="846" spans="5:7" ht="14.25" customHeight="1" x14ac:dyDescent="0.25">
      <c r="E846" s="1"/>
      <c r="F846" s="1"/>
      <c r="G846" s="1"/>
    </row>
    <row r="847" spans="5:7" ht="14.25" customHeight="1" x14ac:dyDescent="0.25">
      <c r="E847" s="1"/>
      <c r="F847" s="1"/>
      <c r="G847" s="1"/>
    </row>
    <row r="848" spans="5:7" ht="14.25" customHeight="1" x14ac:dyDescent="0.25">
      <c r="E848" s="1"/>
      <c r="F848" s="1"/>
      <c r="G848" s="1"/>
    </row>
    <row r="849" spans="5:7" ht="14.25" customHeight="1" x14ac:dyDescent="0.25">
      <c r="E849" s="1"/>
      <c r="F849" s="1"/>
      <c r="G849" s="1"/>
    </row>
    <row r="850" spans="5:7" ht="14.25" customHeight="1" x14ac:dyDescent="0.25">
      <c r="E850" s="1"/>
      <c r="F850" s="1"/>
      <c r="G850" s="1"/>
    </row>
    <row r="851" spans="5:7" ht="14.25" customHeight="1" x14ac:dyDescent="0.25">
      <c r="E851" s="1"/>
      <c r="F851" s="1"/>
      <c r="G851" s="1"/>
    </row>
    <row r="852" spans="5:7" ht="14.25" customHeight="1" x14ac:dyDescent="0.25">
      <c r="E852" s="1"/>
      <c r="F852" s="1"/>
      <c r="G852" s="1"/>
    </row>
    <row r="853" spans="5:7" ht="14.25" customHeight="1" x14ac:dyDescent="0.25">
      <c r="E853" s="1"/>
      <c r="F853" s="1"/>
      <c r="G853" s="1"/>
    </row>
    <row r="854" spans="5:7" ht="14.25" customHeight="1" x14ac:dyDescent="0.25">
      <c r="E854" s="1"/>
      <c r="F854" s="1"/>
      <c r="G854" s="1"/>
    </row>
    <row r="855" spans="5:7" ht="14.25" customHeight="1" x14ac:dyDescent="0.25">
      <c r="E855" s="1"/>
      <c r="F855" s="1"/>
      <c r="G855" s="1"/>
    </row>
    <row r="856" spans="5:7" ht="14.25" customHeight="1" x14ac:dyDescent="0.25">
      <c r="E856" s="1"/>
      <c r="F856" s="1"/>
      <c r="G856" s="1"/>
    </row>
    <row r="857" spans="5:7" ht="14.25" customHeight="1" x14ac:dyDescent="0.25">
      <c r="E857" s="1"/>
      <c r="F857" s="1"/>
      <c r="G857" s="1"/>
    </row>
    <row r="858" spans="5:7" ht="14.25" customHeight="1" x14ac:dyDescent="0.25">
      <c r="E858" s="1"/>
      <c r="F858" s="1"/>
      <c r="G858" s="1"/>
    </row>
    <row r="859" spans="5:7" ht="14.25" customHeight="1" x14ac:dyDescent="0.25">
      <c r="E859" s="1"/>
      <c r="F859" s="1"/>
      <c r="G859" s="1"/>
    </row>
    <row r="860" spans="5:7" ht="14.25" customHeight="1" x14ac:dyDescent="0.25">
      <c r="E860" s="1"/>
      <c r="F860" s="1"/>
      <c r="G860" s="1"/>
    </row>
    <row r="861" spans="5:7" ht="14.25" customHeight="1" x14ac:dyDescent="0.25">
      <c r="E861" s="1"/>
      <c r="F861" s="1"/>
      <c r="G861" s="1"/>
    </row>
    <row r="862" spans="5:7" ht="14.25" customHeight="1" x14ac:dyDescent="0.25">
      <c r="E862" s="1"/>
      <c r="F862" s="1"/>
      <c r="G862" s="1"/>
    </row>
    <row r="863" spans="5:7" ht="14.25" customHeight="1" x14ac:dyDescent="0.25">
      <c r="E863" s="1"/>
      <c r="F863" s="1"/>
      <c r="G863" s="1"/>
    </row>
    <row r="864" spans="5:7" ht="14.25" customHeight="1" x14ac:dyDescent="0.25">
      <c r="E864" s="1"/>
      <c r="F864" s="1"/>
      <c r="G864" s="1"/>
    </row>
    <row r="865" spans="5:7" ht="14.25" customHeight="1" x14ac:dyDescent="0.25">
      <c r="E865" s="1"/>
      <c r="F865" s="1"/>
      <c r="G865" s="1"/>
    </row>
    <row r="866" spans="5:7" ht="14.25" customHeight="1" x14ac:dyDescent="0.25">
      <c r="E866" s="1"/>
      <c r="F866" s="1"/>
      <c r="G866" s="1"/>
    </row>
    <row r="867" spans="5:7" ht="14.25" customHeight="1" x14ac:dyDescent="0.25">
      <c r="E867" s="1"/>
      <c r="F867" s="1"/>
      <c r="G867" s="1"/>
    </row>
    <row r="868" spans="5:7" ht="14.25" customHeight="1" x14ac:dyDescent="0.25">
      <c r="E868" s="1"/>
      <c r="F868" s="1"/>
      <c r="G868" s="1"/>
    </row>
    <row r="869" spans="5:7" ht="14.25" customHeight="1" x14ac:dyDescent="0.25">
      <c r="E869" s="1"/>
      <c r="F869" s="1"/>
      <c r="G869" s="1"/>
    </row>
    <row r="870" spans="5:7" ht="14.25" customHeight="1" x14ac:dyDescent="0.25">
      <c r="E870" s="1"/>
      <c r="F870" s="1"/>
      <c r="G870" s="1"/>
    </row>
    <row r="871" spans="5:7" ht="14.25" customHeight="1" x14ac:dyDescent="0.25">
      <c r="E871" s="1"/>
      <c r="F871" s="1"/>
      <c r="G871" s="1"/>
    </row>
    <row r="872" spans="5:7" ht="14.25" customHeight="1" x14ac:dyDescent="0.25">
      <c r="E872" s="1"/>
      <c r="F872" s="1"/>
      <c r="G872" s="1"/>
    </row>
    <row r="873" spans="5:7" ht="14.25" customHeight="1" x14ac:dyDescent="0.25">
      <c r="E873" s="1"/>
      <c r="F873" s="1"/>
      <c r="G873" s="1"/>
    </row>
    <row r="874" spans="5:7" ht="14.25" customHeight="1" x14ac:dyDescent="0.25">
      <c r="E874" s="1"/>
      <c r="F874" s="1"/>
      <c r="G874" s="1"/>
    </row>
    <row r="875" spans="5:7" ht="14.25" customHeight="1" x14ac:dyDescent="0.25">
      <c r="E875" s="1"/>
      <c r="F875" s="1"/>
      <c r="G875" s="1"/>
    </row>
    <row r="876" spans="5:7" ht="14.25" customHeight="1" x14ac:dyDescent="0.25">
      <c r="E876" s="1"/>
      <c r="F876" s="1"/>
      <c r="G876" s="1"/>
    </row>
    <row r="877" spans="5:7" ht="14.25" customHeight="1" x14ac:dyDescent="0.25">
      <c r="E877" s="1"/>
      <c r="F877" s="1"/>
      <c r="G877" s="1"/>
    </row>
    <row r="878" spans="5:7" ht="14.25" customHeight="1" x14ac:dyDescent="0.25">
      <c r="E878" s="1"/>
      <c r="F878" s="1"/>
      <c r="G878" s="1"/>
    </row>
    <row r="879" spans="5:7" ht="14.25" customHeight="1" x14ac:dyDescent="0.25">
      <c r="E879" s="1"/>
      <c r="F879" s="1"/>
      <c r="G879" s="1"/>
    </row>
    <row r="880" spans="5:7" ht="14.25" customHeight="1" x14ac:dyDescent="0.25">
      <c r="E880" s="1"/>
      <c r="F880" s="1"/>
      <c r="G880" s="1"/>
    </row>
    <row r="881" spans="5:7" ht="14.25" customHeight="1" x14ac:dyDescent="0.25">
      <c r="E881" s="1"/>
      <c r="F881" s="1"/>
      <c r="G881" s="1"/>
    </row>
    <row r="882" spans="5:7" ht="14.25" customHeight="1" x14ac:dyDescent="0.25">
      <c r="E882" s="1"/>
      <c r="F882" s="1"/>
      <c r="G882" s="1"/>
    </row>
    <row r="883" spans="5:7" ht="14.25" customHeight="1" x14ac:dyDescent="0.25">
      <c r="E883" s="1"/>
      <c r="F883" s="1"/>
      <c r="G883" s="1"/>
    </row>
    <row r="884" spans="5:7" ht="14.25" customHeight="1" x14ac:dyDescent="0.25">
      <c r="E884" s="1"/>
      <c r="F884" s="1"/>
      <c r="G884" s="1"/>
    </row>
    <row r="885" spans="5:7" ht="14.25" customHeight="1" x14ac:dyDescent="0.25">
      <c r="E885" s="1"/>
      <c r="F885" s="1"/>
      <c r="G885" s="1"/>
    </row>
    <row r="886" spans="5:7" ht="14.25" customHeight="1" x14ac:dyDescent="0.25">
      <c r="E886" s="1"/>
      <c r="F886" s="1"/>
      <c r="G886" s="1"/>
    </row>
    <row r="887" spans="5:7" ht="14.25" customHeight="1" x14ac:dyDescent="0.25">
      <c r="E887" s="1"/>
      <c r="F887" s="1"/>
      <c r="G887" s="1"/>
    </row>
    <row r="888" spans="5:7" ht="14.25" customHeight="1" x14ac:dyDescent="0.25">
      <c r="E888" s="1"/>
      <c r="F888" s="1"/>
      <c r="G888" s="1"/>
    </row>
    <row r="889" spans="5:7" ht="14.25" customHeight="1" x14ac:dyDescent="0.25">
      <c r="E889" s="1"/>
      <c r="F889" s="1"/>
      <c r="G889" s="1"/>
    </row>
    <row r="890" spans="5:7" ht="14.25" customHeight="1" x14ac:dyDescent="0.25">
      <c r="E890" s="1"/>
      <c r="F890" s="1"/>
      <c r="G890" s="1"/>
    </row>
    <row r="891" spans="5:7" ht="14.25" customHeight="1" x14ac:dyDescent="0.25">
      <c r="E891" s="1"/>
      <c r="F891" s="1"/>
      <c r="G891" s="1"/>
    </row>
    <row r="892" spans="5:7" ht="14.25" customHeight="1" x14ac:dyDescent="0.25">
      <c r="E892" s="1"/>
      <c r="F892" s="1"/>
      <c r="G892" s="1"/>
    </row>
    <row r="893" spans="5:7" ht="14.25" customHeight="1" x14ac:dyDescent="0.25">
      <c r="E893" s="1"/>
      <c r="F893" s="1"/>
      <c r="G893" s="1"/>
    </row>
    <row r="894" spans="5:7" ht="14.25" customHeight="1" x14ac:dyDescent="0.25">
      <c r="E894" s="1"/>
      <c r="F894" s="1"/>
      <c r="G894" s="1"/>
    </row>
    <row r="895" spans="5:7" ht="14.25" customHeight="1" x14ac:dyDescent="0.25">
      <c r="E895" s="1"/>
      <c r="F895" s="1"/>
      <c r="G895" s="1"/>
    </row>
    <row r="896" spans="5:7" ht="14.25" customHeight="1" x14ac:dyDescent="0.25">
      <c r="E896" s="1"/>
      <c r="F896" s="1"/>
      <c r="G896" s="1"/>
    </row>
    <row r="897" spans="5:7" ht="14.25" customHeight="1" x14ac:dyDescent="0.25">
      <c r="E897" s="1"/>
      <c r="F897" s="1"/>
      <c r="G897" s="1"/>
    </row>
    <row r="898" spans="5:7" ht="14.25" customHeight="1" x14ac:dyDescent="0.25">
      <c r="E898" s="1"/>
      <c r="F898" s="1"/>
      <c r="G898" s="1"/>
    </row>
    <row r="899" spans="5:7" ht="14.25" customHeight="1" x14ac:dyDescent="0.25">
      <c r="E899" s="1"/>
      <c r="F899" s="1"/>
      <c r="G899" s="1"/>
    </row>
    <row r="900" spans="5:7" ht="14.25" customHeight="1" x14ac:dyDescent="0.25">
      <c r="E900" s="1"/>
      <c r="F900" s="1"/>
      <c r="G900" s="1"/>
    </row>
    <row r="901" spans="5:7" ht="14.25" customHeight="1" x14ac:dyDescent="0.25">
      <c r="E901" s="1"/>
      <c r="F901" s="1"/>
      <c r="G901" s="1"/>
    </row>
    <row r="902" spans="5:7" ht="14.25" customHeight="1" x14ac:dyDescent="0.25">
      <c r="E902" s="1"/>
      <c r="F902" s="1"/>
      <c r="G902" s="1"/>
    </row>
    <row r="903" spans="5:7" ht="14.25" customHeight="1" x14ac:dyDescent="0.25">
      <c r="E903" s="1"/>
      <c r="F903" s="1"/>
      <c r="G903" s="1"/>
    </row>
    <row r="904" spans="5:7" ht="14.25" customHeight="1" x14ac:dyDescent="0.25">
      <c r="E904" s="1"/>
      <c r="F904" s="1"/>
      <c r="G904" s="1"/>
    </row>
    <row r="905" spans="5:7" ht="14.25" customHeight="1" x14ac:dyDescent="0.25">
      <c r="E905" s="1"/>
      <c r="F905" s="1"/>
      <c r="G905" s="1"/>
    </row>
    <row r="906" spans="5:7" ht="14.25" customHeight="1" x14ac:dyDescent="0.25">
      <c r="E906" s="1"/>
      <c r="F906" s="1"/>
      <c r="G906" s="1"/>
    </row>
    <row r="907" spans="5:7" ht="14.25" customHeight="1" x14ac:dyDescent="0.25">
      <c r="E907" s="1"/>
      <c r="F907" s="1"/>
      <c r="G907" s="1"/>
    </row>
    <row r="908" spans="5:7" ht="14.25" customHeight="1" x14ac:dyDescent="0.25">
      <c r="E908" s="1"/>
      <c r="F908" s="1"/>
      <c r="G908" s="1"/>
    </row>
    <row r="909" spans="5:7" ht="14.25" customHeight="1" x14ac:dyDescent="0.25">
      <c r="E909" s="1"/>
      <c r="F909" s="1"/>
      <c r="G909" s="1"/>
    </row>
    <row r="910" spans="5:7" ht="14.25" customHeight="1" x14ac:dyDescent="0.25">
      <c r="E910" s="1"/>
      <c r="F910" s="1"/>
      <c r="G910" s="1"/>
    </row>
    <row r="911" spans="5:7" ht="14.25" customHeight="1" x14ac:dyDescent="0.25">
      <c r="E911" s="1"/>
      <c r="F911" s="1"/>
      <c r="G911" s="1"/>
    </row>
    <row r="912" spans="5:7" ht="14.25" customHeight="1" x14ac:dyDescent="0.25">
      <c r="E912" s="1"/>
      <c r="F912" s="1"/>
      <c r="G912" s="1"/>
    </row>
    <row r="913" spans="5:7" ht="14.25" customHeight="1" x14ac:dyDescent="0.25">
      <c r="E913" s="1"/>
      <c r="F913" s="1"/>
      <c r="G913" s="1"/>
    </row>
    <row r="914" spans="5:7" ht="14.25" customHeight="1" x14ac:dyDescent="0.25">
      <c r="E914" s="1"/>
      <c r="F914" s="1"/>
      <c r="G914" s="1"/>
    </row>
    <row r="915" spans="5:7" ht="14.25" customHeight="1" x14ac:dyDescent="0.25">
      <c r="E915" s="1"/>
      <c r="F915" s="1"/>
      <c r="G915" s="1"/>
    </row>
    <row r="916" spans="5:7" ht="14.25" customHeight="1" x14ac:dyDescent="0.25">
      <c r="E916" s="1"/>
      <c r="F916" s="1"/>
      <c r="G916" s="1"/>
    </row>
    <row r="917" spans="5:7" ht="14.25" customHeight="1" x14ac:dyDescent="0.25">
      <c r="E917" s="1"/>
      <c r="F917" s="1"/>
      <c r="G917" s="1"/>
    </row>
    <row r="918" spans="5:7" ht="14.25" customHeight="1" x14ac:dyDescent="0.25">
      <c r="E918" s="1"/>
      <c r="F918" s="1"/>
      <c r="G918" s="1"/>
    </row>
    <row r="919" spans="5:7" ht="14.25" customHeight="1" x14ac:dyDescent="0.25">
      <c r="E919" s="1"/>
      <c r="F919" s="1"/>
      <c r="G919" s="1"/>
    </row>
    <row r="920" spans="5:7" ht="14.25" customHeight="1" x14ac:dyDescent="0.25">
      <c r="E920" s="1"/>
      <c r="F920" s="1"/>
      <c r="G920" s="1"/>
    </row>
    <row r="921" spans="5:7" ht="14.25" customHeight="1" x14ac:dyDescent="0.25">
      <c r="E921" s="1"/>
      <c r="F921" s="1"/>
      <c r="G921" s="1"/>
    </row>
    <row r="922" spans="5:7" ht="14.25" customHeight="1" x14ac:dyDescent="0.25">
      <c r="E922" s="1"/>
      <c r="F922" s="1"/>
      <c r="G922" s="1"/>
    </row>
    <row r="923" spans="5:7" ht="14.25" customHeight="1" x14ac:dyDescent="0.25">
      <c r="E923" s="1"/>
      <c r="F923" s="1"/>
      <c r="G923" s="1"/>
    </row>
    <row r="924" spans="5:7" ht="14.25" customHeight="1" x14ac:dyDescent="0.25">
      <c r="E924" s="1"/>
      <c r="F924" s="1"/>
      <c r="G924" s="1"/>
    </row>
    <row r="925" spans="5:7" ht="14.25" customHeight="1" x14ac:dyDescent="0.25">
      <c r="E925" s="1"/>
      <c r="F925" s="1"/>
      <c r="G925" s="1"/>
    </row>
    <row r="926" spans="5:7" ht="14.25" customHeight="1" x14ac:dyDescent="0.25">
      <c r="E926" s="1"/>
      <c r="F926" s="1"/>
      <c r="G926" s="1"/>
    </row>
    <row r="927" spans="5:7" ht="14.25" customHeight="1" x14ac:dyDescent="0.25">
      <c r="E927" s="1"/>
      <c r="F927" s="1"/>
      <c r="G927" s="1"/>
    </row>
    <row r="928" spans="5:7" ht="14.25" customHeight="1" x14ac:dyDescent="0.25">
      <c r="E928" s="1"/>
      <c r="F928" s="1"/>
      <c r="G928" s="1"/>
    </row>
    <row r="929" spans="5:7" ht="14.25" customHeight="1" x14ac:dyDescent="0.25">
      <c r="E929" s="1"/>
      <c r="F929" s="1"/>
      <c r="G929" s="1"/>
    </row>
    <row r="930" spans="5:7" ht="14.25" customHeight="1" x14ac:dyDescent="0.25">
      <c r="E930" s="1"/>
      <c r="F930" s="1"/>
      <c r="G930" s="1"/>
    </row>
    <row r="931" spans="5:7" ht="14.25" customHeight="1" x14ac:dyDescent="0.25">
      <c r="E931" s="1"/>
      <c r="F931" s="1"/>
      <c r="G931" s="1"/>
    </row>
    <row r="932" spans="5:7" ht="14.25" customHeight="1" x14ac:dyDescent="0.25">
      <c r="E932" s="1"/>
      <c r="F932" s="1"/>
      <c r="G932" s="1"/>
    </row>
    <row r="933" spans="5:7" ht="14.25" customHeight="1" x14ac:dyDescent="0.25">
      <c r="E933" s="1"/>
      <c r="F933" s="1"/>
      <c r="G933" s="1"/>
    </row>
    <row r="934" spans="5:7" ht="14.25" customHeight="1" x14ac:dyDescent="0.25">
      <c r="E934" s="1"/>
      <c r="F934" s="1"/>
      <c r="G934" s="1"/>
    </row>
    <row r="935" spans="5:7" ht="14.25" customHeight="1" x14ac:dyDescent="0.25">
      <c r="E935" s="1"/>
      <c r="F935" s="1"/>
      <c r="G935" s="1"/>
    </row>
    <row r="936" spans="5:7" ht="14.25" customHeight="1" x14ac:dyDescent="0.25">
      <c r="E936" s="1"/>
      <c r="F936" s="1"/>
      <c r="G936" s="1"/>
    </row>
    <row r="937" spans="5:7" ht="14.25" customHeight="1" x14ac:dyDescent="0.25">
      <c r="E937" s="1"/>
      <c r="F937" s="1"/>
      <c r="G937" s="1"/>
    </row>
    <row r="938" spans="5:7" ht="14.25" customHeight="1" x14ac:dyDescent="0.25">
      <c r="E938" s="1"/>
      <c r="F938" s="1"/>
      <c r="G938" s="1"/>
    </row>
    <row r="939" spans="5:7" ht="14.25" customHeight="1" x14ac:dyDescent="0.25">
      <c r="E939" s="1"/>
      <c r="F939" s="1"/>
      <c r="G939" s="1"/>
    </row>
    <row r="940" spans="5:7" ht="14.25" customHeight="1" x14ac:dyDescent="0.25">
      <c r="E940" s="1"/>
      <c r="F940" s="1"/>
      <c r="G940" s="1"/>
    </row>
    <row r="941" spans="5:7" ht="14.25" customHeight="1" x14ac:dyDescent="0.25">
      <c r="E941" s="1"/>
      <c r="F941" s="1"/>
      <c r="G941" s="1"/>
    </row>
    <row r="942" spans="5:7" ht="14.25" customHeight="1" x14ac:dyDescent="0.25">
      <c r="E942" s="1"/>
      <c r="F942" s="1"/>
      <c r="G942" s="1"/>
    </row>
    <row r="943" spans="5:7" ht="14.25" customHeight="1" x14ac:dyDescent="0.25">
      <c r="E943" s="1"/>
      <c r="F943" s="1"/>
      <c r="G943" s="1"/>
    </row>
    <row r="944" spans="5:7" ht="14.25" customHeight="1" x14ac:dyDescent="0.25">
      <c r="E944" s="1"/>
      <c r="F944" s="1"/>
      <c r="G944" s="1"/>
    </row>
    <row r="945" spans="5:7" ht="14.25" customHeight="1" x14ac:dyDescent="0.25">
      <c r="E945" s="1"/>
      <c r="F945" s="1"/>
      <c r="G945" s="1"/>
    </row>
    <row r="946" spans="5:7" ht="14.25" customHeight="1" x14ac:dyDescent="0.25">
      <c r="E946" s="1"/>
      <c r="F946" s="1"/>
      <c r="G946" s="1"/>
    </row>
    <row r="947" spans="5:7" ht="14.25" customHeight="1" x14ac:dyDescent="0.25">
      <c r="E947" s="1"/>
      <c r="F947" s="1"/>
      <c r="G947" s="1"/>
    </row>
    <row r="948" spans="5:7" ht="14.25" customHeight="1" x14ac:dyDescent="0.25">
      <c r="E948" s="1"/>
      <c r="F948" s="1"/>
      <c r="G948" s="1"/>
    </row>
    <row r="949" spans="5:7" ht="14.25" customHeight="1" x14ac:dyDescent="0.25">
      <c r="E949" s="1"/>
      <c r="F949" s="1"/>
      <c r="G949" s="1"/>
    </row>
    <row r="950" spans="5:7" ht="14.25" customHeight="1" x14ac:dyDescent="0.25">
      <c r="E950" s="1"/>
      <c r="F950" s="1"/>
      <c r="G950" s="1"/>
    </row>
    <row r="951" spans="5:7" ht="14.25" customHeight="1" x14ac:dyDescent="0.25">
      <c r="E951" s="1"/>
      <c r="F951" s="1"/>
      <c r="G951" s="1"/>
    </row>
    <row r="952" spans="5:7" ht="14.25" customHeight="1" x14ac:dyDescent="0.25">
      <c r="E952" s="1"/>
      <c r="F952" s="1"/>
      <c r="G952" s="1"/>
    </row>
    <row r="953" spans="5:7" ht="14.25" customHeight="1" x14ac:dyDescent="0.25">
      <c r="E953" s="1"/>
      <c r="F953" s="1"/>
      <c r="G953" s="1"/>
    </row>
    <row r="954" spans="5:7" ht="14.25" customHeight="1" x14ac:dyDescent="0.25">
      <c r="E954" s="1"/>
      <c r="F954" s="1"/>
      <c r="G954" s="1"/>
    </row>
    <row r="955" spans="5:7" ht="14.25" customHeight="1" x14ac:dyDescent="0.25">
      <c r="E955" s="1"/>
      <c r="F955" s="1"/>
      <c r="G955" s="1"/>
    </row>
    <row r="956" spans="5:7" ht="14.25" customHeight="1" x14ac:dyDescent="0.25">
      <c r="E956" s="1"/>
      <c r="F956" s="1"/>
      <c r="G956" s="1"/>
    </row>
    <row r="957" spans="5:7" ht="14.25" customHeight="1" x14ac:dyDescent="0.25">
      <c r="E957" s="1"/>
      <c r="F957" s="1"/>
      <c r="G957" s="1"/>
    </row>
    <row r="958" spans="5:7" ht="14.25" customHeight="1" x14ac:dyDescent="0.25">
      <c r="E958" s="1"/>
      <c r="F958" s="1"/>
      <c r="G958" s="1"/>
    </row>
    <row r="959" spans="5:7" ht="14.25" customHeight="1" x14ac:dyDescent="0.25">
      <c r="E959" s="1"/>
      <c r="F959" s="1"/>
      <c r="G959" s="1"/>
    </row>
    <row r="960" spans="5:7" ht="14.25" customHeight="1" x14ac:dyDescent="0.25">
      <c r="E960" s="1"/>
      <c r="F960" s="1"/>
      <c r="G960" s="1"/>
    </row>
    <row r="961" spans="5:7" ht="14.25" customHeight="1" x14ac:dyDescent="0.25">
      <c r="E961" s="1"/>
      <c r="F961" s="1"/>
      <c r="G961" s="1"/>
    </row>
    <row r="962" spans="5:7" ht="14.25" customHeight="1" x14ac:dyDescent="0.25">
      <c r="E962" s="1"/>
      <c r="F962" s="1"/>
      <c r="G962" s="1"/>
    </row>
    <row r="963" spans="5:7" ht="14.25" customHeight="1" x14ac:dyDescent="0.25">
      <c r="E963" s="1"/>
      <c r="F963" s="1"/>
      <c r="G963" s="1"/>
    </row>
    <row r="964" spans="5:7" ht="14.25" customHeight="1" x14ac:dyDescent="0.25">
      <c r="E964" s="1"/>
      <c r="F964" s="1"/>
      <c r="G964" s="1"/>
    </row>
    <row r="965" spans="5:7" ht="14.25" customHeight="1" x14ac:dyDescent="0.25">
      <c r="E965" s="1"/>
      <c r="F965" s="1"/>
      <c r="G965" s="1"/>
    </row>
    <row r="966" spans="5:7" ht="14.25" customHeight="1" x14ac:dyDescent="0.25">
      <c r="E966" s="1"/>
      <c r="F966" s="1"/>
      <c r="G966" s="1"/>
    </row>
    <row r="967" spans="5:7" ht="14.25" customHeight="1" x14ac:dyDescent="0.25">
      <c r="E967" s="1"/>
      <c r="F967" s="1"/>
      <c r="G967" s="1"/>
    </row>
    <row r="968" spans="5:7" ht="14.25" customHeight="1" x14ac:dyDescent="0.25">
      <c r="E968" s="1"/>
      <c r="F968" s="1"/>
      <c r="G968" s="1"/>
    </row>
    <row r="969" spans="5:7" ht="14.25" customHeight="1" x14ac:dyDescent="0.25">
      <c r="E969" s="1"/>
      <c r="F969" s="1"/>
      <c r="G969" s="1"/>
    </row>
    <row r="970" spans="5:7" ht="14.25" customHeight="1" x14ac:dyDescent="0.25">
      <c r="E970" s="1"/>
      <c r="F970" s="1"/>
      <c r="G970" s="1"/>
    </row>
    <row r="971" spans="5:7" ht="14.25" customHeight="1" x14ac:dyDescent="0.25">
      <c r="E971" s="1"/>
      <c r="F971" s="1"/>
      <c r="G971" s="1"/>
    </row>
    <row r="972" spans="5:7" ht="14.25" customHeight="1" x14ac:dyDescent="0.25">
      <c r="E972" s="1"/>
      <c r="F972" s="1"/>
      <c r="G972" s="1"/>
    </row>
    <row r="973" spans="5:7" ht="14.25" customHeight="1" x14ac:dyDescent="0.25">
      <c r="E973" s="1"/>
      <c r="F973" s="1"/>
      <c r="G973" s="1"/>
    </row>
    <row r="974" spans="5:7" ht="14.25" customHeight="1" x14ac:dyDescent="0.25">
      <c r="E974" s="1"/>
      <c r="F974" s="1"/>
      <c r="G974" s="1"/>
    </row>
    <row r="975" spans="5:7" ht="14.25" customHeight="1" x14ac:dyDescent="0.25">
      <c r="E975" s="1"/>
      <c r="F975" s="1"/>
      <c r="G975" s="1"/>
    </row>
    <row r="976" spans="5:7" ht="14.25" customHeight="1" x14ac:dyDescent="0.25">
      <c r="E976" s="1"/>
      <c r="F976" s="1"/>
      <c r="G976" s="1"/>
    </row>
    <row r="977" spans="5:7" ht="14.25" customHeight="1" x14ac:dyDescent="0.25">
      <c r="E977" s="1"/>
      <c r="F977" s="1"/>
      <c r="G977" s="1"/>
    </row>
    <row r="978" spans="5:7" ht="14.25" customHeight="1" x14ac:dyDescent="0.25">
      <c r="E978" s="1"/>
      <c r="F978" s="1"/>
      <c r="G978" s="1"/>
    </row>
    <row r="979" spans="5:7" ht="14.25" customHeight="1" x14ac:dyDescent="0.25">
      <c r="E979" s="1"/>
      <c r="F979" s="1"/>
      <c r="G979" s="1"/>
    </row>
    <row r="980" spans="5:7" ht="14.25" customHeight="1" x14ac:dyDescent="0.25">
      <c r="E980" s="1"/>
      <c r="F980" s="1"/>
      <c r="G980" s="1"/>
    </row>
    <row r="981" spans="5:7" ht="14.25" customHeight="1" x14ac:dyDescent="0.25">
      <c r="E981" s="1"/>
      <c r="F981" s="1"/>
      <c r="G981" s="1"/>
    </row>
    <row r="982" spans="5:7" ht="14.25" customHeight="1" x14ac:dyDescent="0.25">
      <c r="E982" s="1"/>
      <c r="F982" s="1"/>
      <c r="G982" s="1"/>
    </row>
    <row r="983" spans="5:7" ht="14.25" customHeight="1" x14ac:dyDescent="0.25">
      <c r="E983" s="1"/>
      <c r="F983" s="1"/>
      <c r="G983" s="1"/>
    </row>
    <row r="984" spans="5:7" ht="14.25" customHeight="1" x14ac:dyDescent="0.25">
      <c r="E984" s="1"/>
      <c r="F984" s="1"/>
      <c r="G984" s="1"/>
    </row>
    <row r="985" spans="5:7" ht="14.25" customHeight="1" x14ac:dyDescent="0.25">
      <c r="E985" s="1"/>
      <c r="F985" s="1"/>
      <c r="G985" s="1"/>
    </row>
    <row r="986" spans="5:7" ht="14.25" customHeight="1" x14ac:dyDescent="0.25">
      <c r="E986" s="1"/>
      <c r="F986" s="1"/>
      <c r="G986" s="1"/>
    </row>
    <row r="987" spans="5:7" ht="14.25" customHeight="1" x14ac:dyDescent="0.25">
      <c r="E987" s="1"/>
      <c r="F987" s="1"/>
      <c r="G987" s="1"/>
    </row>
    <row r="988" spans="5:7" ht="14.25" customHeight="1" x14ac:dyDescent="0.25">
      <c r="E988" s="1"/>
      <c r="F988" s="1"/>
      <c r="G988" s="1"/>
    </row>
    <row r="989" spans="5:7" ht="14.25" customHeight="1" x14ac:dyDescent="0.25">
      <c r="E989" s="1"/>
      <c r="F989" s="1"/>
      <c r="G989" s="1"/>
    </row>
    <row r="990" spans="5:7" ht="14.25" customHeight="1" x14ac:dyDescent="0.25">
      <c r="E990" s="1"/>
      <c r="F990" s="1"/>
      <c r="G990" s="1"/>
    </row>
    <row r="991" spans="5:7" ht="14.25" customHeight="1" x14ac:dyDescent="0.25">
      <c r="E991" s="1"/>
      <c r="F991" s="1"/>
      <c r="G991" s="1"/>
    </row>
    <row r="992" spans="5:7" ht="14.25" customHeight="1" x14ac:dyDescent="0.25">
      <c r="E992" s="1"/>
      <c r="F992" s="1"/>
      <c r="G992" s="1"/>
    </row>
    <row r="993" spans="5:7" ht="14.25" customHeight="1" x14ac:dyDescent="0.25">
      <c r="E993" s="1"/>
      <c r="F993" s="1"/>
      <c r="G993" s="1"/>
    </row>
    <row r="994" spans="5:7" ht="14.25" customHeight="1" x14ac:dyDescent="0.25">
      <c r="E994" s="1"/>
      <c r="F994" s="1"/>
      <c r="G994" s="1"/>
    </row>
    <row r="995" spans="5:7" ht="14.25" customHeight="1" x14ac:dyDescent="0.25">
      <c r="E995" s="1"/>
      <c r="F995" s="1"/>
      <c r="G995" s="1"/>
    </row>
    <row r="996" spans="5:7" ht="14.25" customHeight="1" x14ac:dyDescent="0.25">
      <c r="E996" s="1"/>
      <c r="F996" s="1"/>
      <c r="G996" s="1"/>
    </row>
    <row r="997" spans="5:7" ht="14.25" customHeight="1" x14ac:dyDescent="0.25">
      <c r="E997" s="1"/>
      <c r="F997" s="1"/>
      <c r="G997" s="1"/>
    </row>
    <row r="998" spans="5:7" ht="14.25" customHeight="1" x14ac:dyDescent="0.25">
      <c r="E998" s="1"/>
      <c r="F998" s="1"/>
      <c r="G998" s="1"/>
    </row>
    <row r="999" spans="5:7" ht="14.25" customHeight="1" x14ac:dyDescent="0.25">
      <c r="E999" s="1"/>
      <c r="F999" s="1"/>
      <c r="G999" s="1"/>
    </row>
    <row r="1000" spans="5:7" ht="14.25" customHeight="1" x14ac:dyDescent="0.25">
      <c r="E1000" s="1"/>
      <c r="F1000" s="1"/>
      <c r="G1000" s="1"/>
    </row>
    <row r="1001" spans="5:7" ht="14.25" customHeight="1" x14ac:dyDescent="0.25">
      <c r="E1001" s="1"/>
      <c r="F1001" s="1"/>
      <c r="G1001" s="1"/>
    </row>
    <row r="1002" spans="5:7" ht="14.25" customHeight="1" x14ac:dyDescent="0.25">
      <c r="E1002" s="1"/>
      <c r="F1002" s="1"/>
      <c r="G1002" s="1"/>
    </row>
    <row r="1003" spans="5:7" ht="14.25" customHeight="1" x14ac:dyDescent="0.25">
      <c r="E1003" s="1"/>
      <c r="F1003" s="1"/>
      <c r="G1003" s="1"/>
    </row>
    <row r="1004" spans="5:7" ht="14.25" customHeight="1" x14ac:dyDescent="0.25">
      <c r="E1004" s="1"/>
      <c r="F1004" s="1"/>
      <c r="G1004" s="1"/>
    </row>
    <row r="1005" spans="5:7" ht="14.25" customHeight="1" x14ac:dyDescent="0.25">
      <c r="E1005" s="1"/>
      <c r="F1005" s="1"/>
      <c r="G1005" s="1"/>
    </row>
    <row r="1006" spans="5:7" ht="14.25" customHeight="1" x14ac:dyDescent="0.25">
      <c r="E1006" s="1"/>
      <c r="F1006" s="1"/>
      <c r="G1006" s="1"/>
    </row>
    <row r="1007" spans="5:7" ht="14.25" customHeight="1" x14ac:dyDescent="0.25">
      <c r="E1007" s="1"/>
      <c r="F1007" s="1"/>
      <c r="G1007" s="1"/>
    </row>
    <row r="1008" spans="5:7" ht="14.25" customHeight="1" x14ac:dyDescent="0.25">
      <c r="E1008" s="1"/>
      <c r="F1008" s="1"/>
      <c r="G1008" s="1"/>
    </row>
    <row r="1009" spans="5:7" ht="14.25" customHeight="1" x14ac:dyDescent="0.25">
      <c r="E1009" s="1"/>
      <c r="F1009" s="1"/>
      <c r="G1009" s="1"/>
    </row>
    <row r="1010" spans="5:7" ht="14.25" customHeight="1" x14ac:dyDescent="0.25">
      <c r="E1010" s="1"/>
      <c r="F1010" s="1"/>
      <c r="G1010" s="1"/>
    </row>
    <row r="1011" spans="5:7" ht="14.25" customHeight="1" x14ac:dyDescent="0.25">
      <c r="E1011" s="1"/>
      <c r="F1011" s="1"/>
      <c r="G1011" s="1"/>
    </row>
    <row r="1012" spans="5:7" ht="14.25" customHeight="1" x14ac:dyDescent="0.25">
      <c r="E1012" s="1"/>
      <c r="F1012" s="1"/>
      <c r="G1012" s="1"/>
    </row>
    <row r="1013" spans="5:7" ht="15" customHeight="1" x14ac:dyDescent="0.25">
      <c r="E1013" s="1"/>
      <c r="F1013" s="1"/>
      <c r="G1013" s="1"/>
    </row>
    <row r="1014" spans="5:7" ht="15" customHeight="1" x14ac:dyDescent="0.25">
      <c r="E1014" s="1"/>
      <c r="F1014" s="1"/>
      <c r="G1014" s="1"/>
    </row>
    <row r="1015" spans="5:7" ht="15" customHeight="1" x14ac:dyDescent="0.25">
      <c r="E1015" s="1"/>
      <c r="F1015" s="1"/>
      <c r="G1015" s="1"/>
    </row>
    <row r="1016" spans="5:7" ht="15" customHeight="1" x14ac:dyDescent="0.25">
      <c r="E1016" s="1"/>
      <c r="F1016" s="1"/>
      <c r="G1016" s="1"/>
    </row>
    <row r="1017" spans="5:7" ht="15" customHeight="1" x14ac:dyDescent="0.25">
      <c r="E1017" s="1"/>
      <c r="F1017" s="1"/>
      <c r="G1017" s="1"/>
    </row>
    <row r="1018" spans="5:7" ht="15" customHeight="1" x14ac:dyDescent="0.25">
      <c r="E1018" s="1"/>
      <c r="F1018" s="1"/>
      <c r="G1018" s="1"/>
    </row>
    <row r="1019" spans="5:7" ht="15" customHeight="1" x14ac:dyDescent="0.25">
      <c r="E1019" s="1"/>
      <c r="F1019" s="1"/>
      <c r="G1019" s="1"/>
    </row>
    <row r="1020" spans="5:7" ht="15" customHeight="1" x14ac:dyDescent="0.25">
      <c r="E1020" s="1"/>
      <c r="F1020" s="1"/>
      <c r="G1020" s="1"/>
    </row>
    <row r="1021" spans="5:7" ht="15" customHeight="1" x14ac:dyDescent="0.25">
      <c r="E1021" s="1"/>
      <c r="F1021" s="1"/>
      <c r="G1021" s="1"/>
    </row>
    <row r="1022" spans="5:7" ht="15" customHeight="1" x14ac:dyDescent="0.25">
      <c r="E1022" s="1"/>
      <c r="F1022" s="1"/>
      <c r="G1022" s="1"/>
    </row>
    <row r="1023" spans="5:7" ht="15" customHeight="1" x14ac:dyDescent="0.25">
      <c r="E1023" s="1"/>
      <c r="F1023" s="1"/>
      <c r="G1023" s="1"/>
    </row>
    <row r="1024" spans="5:7" ht="15" customHeight="1" x14ac:dyDescent="0.25">
      <c r="E1024" s="1"/>
      <c r="F1024" s="1"/>
      <c r="G1024" s="1"/>
    </row>
    <row r="1025" spans="5:7" ht="15" customHeight="1" x14ac:dyDescent="0.25">
      <c r="E1025" s="1"/>
      <c r="F1025" s="1"/>
      <c r="G1025" s="1"/>
    </row>
    <row r="1026" spans="5:7" ht="15" customHeight="1" x14ac:dyDescent="0.25">
      <c r="E1026" s="1"/>
      <c r="F1026" s="1"/>
      <c r="G1026" s="1"/>
    </row>
    <row r="1027" spans="5:7" ht="15" customHeight="1" x14ac:dyDescent="0.25">
      <c r="E1027" s="1"/>
      <c r="F1027" s="1"/>
      <c r="G1027" s="1"/>
    </row>
    <row r="1028" spans="5:7" ht="15" customHeight="1" x14ac:dyDescent="0.25">
      <c r="E1028" s="1"/>
      <c r="F1028" s="1"/>
      <c r="G1028" s="1"/>
    </row>
    <row r="1029" spans="5:7" ht="15" customHeight="1" x14ac:dyDescent="0.25">
      <c r="E1029" s="1"/>
      <c r="F1029" s="1"/>
      <c r="G1029" s="1"/>
    </row>
    <row r="1030" spans="5:7" ht="15" customHeight="1" x14ac:dyDescent="0.25">
      <c r="E1030" s="1"/>
      <c r="F1030" s="1"/>
      <c r="G1030" s="1"/>
    </row>
    <row r="1031" spans="5:7" ht="15" customHeight="1" x14ac:dyDescent="0.25">
      <c r="E1031" s="1"/>
      <c r="F1031" s="1"/>
      <c r="G1031" s="1"/>
    </row>
    <row r="1032" spans="5:7" ht="15" customHeight="1" x14ac:dyDescent="0.25">
      <c r="E1032" s="1"/>
      <c r="F1032" s="1"/>
      <c r="G1032" s="1"/>
    </row>
    <row r="1033" spans="5:7" ht="15" customHeight="1" x14ac:dyDescent="0.25">
      <c r="E1033" s="1"/>
      <c r="F1033" s="1"/>
      <c r="G1033" s="1"/>
    </row>
    <row r="1034" spans="5:7" ht="15" customHeight="1" x14ac:dyDescent="0.25">
      <c r="E1034" s="1"/>
      <c r="F1034" s="1"/>
      <c r="G1034" s="1"/>
    </row>
    <row r="1035" spans="5:7" ht="15" customHeight="1" x14ac:dyDescent="0.25">
      <c r="E1035" s="1"/>
      <c r="F1035" s="1"/>
      <c r="G1035" s="1"/>
    </row>
    <row r="1036" spans="5:7" ht="15" customHeight="1" x14ac:dyDescent="0.25">
      <c r="E1036" s="1"/>
      <c r="F1036" s="1"/>
      <c r="G1036" s="1"/>
    </row>
    <row r="1037" spans="5:7" ht="15" customHeight="1" x14ac:dyDescent="0.25">
      <c r="E1037" s="1"/>
      <c r="F1037" s="1"/>
      <c r="G1037" s="1"/>
    </row>
    <row r="1038" spans="5:7" ht="15" customHeight="1" x14ac:dyDescent="0.25">
      <c r="E1038" s="1"/>
      <c r="F1038" s="1"/>
      <c r="G1038" s="1"/>
    </row>
    <row r="1039" spans="5:7" ht="15" customHeight="1" x14ac:dyDescent="0.25">
      <c r="E1039" s="1"/>
      <c r="F1039" s="1"/>
      <c r="G1039" s="1"/>
    </row>
    <row r="1040" spans="5:7" ht="15" customHeight="1" x14ac:dyDescent="0.25">
      <c r="E1040" s="1"/>
      <c r="F1040" s="1"/>
      <c r="G1040" s="1"/>
    </row>
    <row r="1041" spans="5:7" ht="15" customHeight="1" x14ac:dyDescent="0.25">
      <c r="E1041" s="1"/>
      <c r="F1041" s="1"/>
      <c r="G1041" s="1"/>
    </row>
    <row r="1042" spans="5:7" ht="15" customHeight="1" x14ac:dyDescent="0.25">
      <c r="E1042" s="1"/>
      <c r="F1042" s="1"/>
      <c r="G1042" s="1"/>
    </row>
  </sheetData>
  <conditionalFormatting sqref="H1:H1048576">
    <cfRule type="colorScale" priority="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I1:I1048576">
    <cfRule type="colorScale" priority="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K1:K1048576">
    <cfRule type="colorScale" priority="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L1:L1048576">
    <cfRule type="colorScale" priority="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J1:J1048576">
    <cfRule type="colorScale" priority="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M1:O1">
    <cfRule type="colorScale" priority="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pageMargins left="0.7" right="0.7" top="0.75" bottom="0.75" header="0" footer="0"/>
  <pageSetup orientation="landscape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4"/>
  <dimension ref="A1:E1014"/>
  <sheetViews>
    <sheetView workbookViewId="0">
      <selection activeCell="F15" sqref="F15"/>
    </sheetView>
  </sheetViews>
  <sheetFormatPr defaultColWidth="14.42578125" defaultRowHeight="15" customHeight="1" x14ac:dyDescent="0.25"/>
  <cols>
    <col min="1" max="1" width="9.5703125" bestFit="1" customWidth="1"/>
    <col min="2" max="2" width="6.85546875" bestFit="1" customWidth="1"/>
    <col min="3" max="3" width="16" bestFit="1" customWidth="1"/>
    <col min="4" max="4" width="18.28515625" bestFit="1" customWidth="1"/>
    <col min="5" max="5" width="10.5703125" bestFit="1" customWidth="1"/>
  </cols>
  <sheetData>
    <row r="1" spans="1:5" ht="15" customHeight="1" x14ac:dyDescent="0.25">
      <c r="A1" t="s">
        <v>10</v>
      </c>
      <c r="B1" t="s">
        <v>518</v>
      </c>
      <c r="C1" t="s">
        <v>0</v>
      </c>
      <c r="D1" t="s">
        <v>11</v>
      </c>
      <c r="E1" t="s">
        <v>519</v>
      </c>
    </row>
    <row r="2" spans="1:5" ht="15" customHeight="1" x14ac:dyDescent="0.25">
      <c r="A2">
        <v>2025</v>
      </c>
      <c r="B2">
        <v>1</v>
      </c>
      <c r="C2" t="s">
        <v>508</v>
      </c>
      <c r="D2" t="s">
        <v>538</v>
      </c>
      <c r="E2" t="s">
        <v>250</v>
      </c>
    </row>
    <row r="3" spans="1:5" ht="15" customHeight="1" x14ac:dyDescent="0.25">
      <c r="A3">
        <v>2025</v>
      </c>
      <c r="B3">
        <v>2</v>
      </c>
      <c r="C3" t="s">
        <v>520</v>
      </c>
      <c r="D3" t="s">
        <v>539</v>
      </c>
      <c r="E3" t="s">
        <v>247</v>
      </c>
    </row>
    <row r="4" spans="1:5" ht="15" customHeight="1" x14ac:dyDescent="0.25">
      <c r="A4">
        <v>2025</v>
      </c>
      <c r="B4">
        <v>3</v>
      </c>
      <c r="C4" t="s">
        <v>528</v>
      </c>
      <c r="D4" t="s">
        <v>540</v>
      </c>
      <c r="E4" t="s">
        <v>247</v>
      </c>
    </row>
    <row r="5" spans="1:5" ht="15" customHeight="1" x14ac:dyDescent="0.25">
      <c r="A5">
        <v>2025</v>
      </c>
      <c r="B5">
        <v>4</v>
      </c>
      <c r="C5" t="s">
        <v>510</v>
      </c>
      <c r="D5" t="s">
        <v>541</v>
      </c>
      <c r="E5" t="s">
        <v>247</v>
      </c>
    </row>
    <row r="6" spans="1:5" ht="15" customHeight="1" x14ac:dyDescent="0.25">
      <c r="A6">
        <v>2025</v>
      </c>
      <c r="B6">
        <v>5</v>
      </c>
      <c r="C6" s="1" t="s">
        <v>529</v>
      </c>
      <c r="D6" t="s">
        <v>542</v>
      </c>
      <c r="E6" t="s">
        <v>249</v>
      </c>
    </row>
    <row r="7" spans="1:5" ht="15" customHeight="1" x14ac:dyDescent="0.25">
      <c r="A7">
        <v>2025</v>
      </c>
      <c r="B7">
        <v>6</v>
      </c>
      <c r="C7" s="1" t="s">
        <v>536</v>
      </c>
      <c r="D7" t="s">
        <v>476</v>
      </c>
      <c r="E7" t="s">
        <v>247</v>
      </c>
    </row>
    <row r="8" spans="1:5" ht="15" customHeight="1" x14ac:dyDescent="0.25">
      <c r="A8">
        <v>2025</v>
      </c>
      <c r="B8">
        <v>7</v>
      </c>
      <c r="C8" s="1" t="s">
        <v>509</v>
      </c>
      <c r="D8" t="s">
        <v>543</v>
      </c>
      <c r="E8" t="s">
        <v>249</v>
      </c>
    </row>
    <row r="9" spans="1:5" ht="15" customHeight="1" x14ac:dyDescent="0.25">
      <c r="A9">
        <v>2025</v>
      </c>
      <c r="B9">
        <v>8</v>
      </c>
      <c r="C9" s="1" t="s">
        <v>530</v>
      </c>
      <c r="D9" t="s">
        <v>544</v>
      </c>
      <c r="E9" t="s">
        <v>249</v>
      </c>
    </row>
    <row r="10" spans="1:5" ht="15" customHeight="1" x14ac:dyDescent="0.25">
      <c r="A10">
        <v>2025</v>
      </c>
      <c r="B10">
        <v>9</v>
      </c>
      <c r="C10" s="1" t="s">
        <v>537</v>
      </c>
      <c r="D10" t="s">
        <v>479</v>
      </c>
      <c r="E10" t="s">
        <v>250</v>
      </c>
    </row>
    <row r="11" spans="1:5" ht="15" customHeight="1" x14ac:dyDescent="0.25">
      <c r="A11">
        <v>2025</v>
      </c>
      <c r="B11">
        <v>10</v>
      </c>
      <c r="C11" s="1" t="s">
        <v>512</v>
      </c>
      <c r="D11" t="s">
        <v>545</v>
      </c>
      <c r="E11" t="s">
        <v>249</v>
      </c>
    </row>
    <row r="12" spans="1:5" ht="15" customHeight="1" x14ac:dyDescent="0.25">
      <c r="A12">
        <v>2025</v>
      </c>
      <c r="B12">
        <v>11</v>
      </c>
      <c r="C12" s="1" t="s">
        <v>485</v>
      </c>
      <c r="D12" t="s">
        <v>546</v>
      </c>
      <c r="E12" t="s">
        <v>250</v>
      </c>
    </row>
    <row r="13" spans="1:5" ht="15" customHeight="1" x14ac:dyDescent="0.25">
      <c r="A13">
        <v>2025</v>
      </c>
      <c r="B13">
        <v>12</v>
      </c>
      <c r="C13" s="1" t="s">
        <v>24</v>
      </c>
      <c r="D13" t="s">
        <v>547</v>
      </c>
      <c r="E13" t="s">
        <v>249</v>
      </c>
    </row>
    <row r="14" spans="1:5" ht="14.25" customHeight="1" x14ac:dyDescent="0.25">
      <c r="A14">
        <v>2024</v>
      </c>
      <c r="B14" s="4">
        <v>1</v>
      </c>
      <c r="C14" t="s">
        <v>485</v>
      </c>
      <c r="D14" t="s">
        <v>246</v>
      </c>
      <c r="E14" t="s">
        <v>247</v>
      </c>
    </row>
    <row r="15" spans="1:5" ht="14.25" customHeight="1" x14ac:dyDescent="0.25">
      <c r="A15">
        <v>2024</v>
      </c>
      <c r="B15" s="4">
        <v>3</v>
      </c>
      <c r="C15" t="s">
        <v>512</v>
      </c>
      <c r="D15" t="s">
        <v>484</v>
      </c>
      <c r="E15" t="s">
        <v>249</v>
      </c>
    </row>
    <row r="16" spans="1:5" ht="14.25" customHeight="1" x14ac:dyDescent="0.25">
      <c r="A16">
        <v>2024</v>
      </c>
      <c r="B16" s="4">
        <v>2</v>
      </c>
      <c r="C16" s="1" t="s">
        <v>528</v>
      </c>
      <c r="D16" t="s">
        <v>483</v>
      </c>
      <c r="E16" t="s">
        <v>249</v>
      </c>
    </row>
    <row r="17" spans="1:5" ht="14.25" customHeight="1" x14ac:dyDescent="0.25">
      <c r="A17">
        <v>2024</v>
      </c>
      <c r="B17" s="4">
        <v>7</v>
      </c>
      <c r="C17" s="1" t="s">
        <v>530</v>
      </c>
      <c r="D17" t="s">
        <v>492</v>
      </c>
      <c r="E17" t="s">
        <v>250</v>
      </c>
    </row>
    <row r="18" spans="1:5" ht="14.25" customHeight="1" x14ac:dyDescent="0.25">
      <c r="A18">
        <v>2024</v>
      </c>
      <c r="B18" s="4">
        <v>4</v>
      </c>
      <c r="C18" s="1" t="s">
        <v>520</v>
      </c>
      <c r="D18" t="s">
        <v>252</v>
      </c>
      <c r="E18" t="s">
        <v>249</v>
      </c>
    </row>
    <row r="19" spans="1:5" ht="14.25" customHeight="1" x14ac:dyDescent="0.25">
      <c r="A19">
        <v>2024</v>
      </c>
      <c r="B19" s="4">
        <v>8</v>
      </c>
      <c r="C19" t="s">
        <v>24</v>
      </c>
      <c r="D19" t="s">
        <v>493</v>
      </c>
      <c r="E19" t="s">
        <v>249</v>
      </c>
    </row>
    <row r="20" spans="1:5" ht="14.25" customHeight="1" x14ac:dyDescent="0.25">
      <c r="A20">
        <v>2024</v>
      </c>
      <c r="B20" s="4">
        <v>5</v>
      </c>
      <c r="C20" s="1" t="s">
        <v>509</v>
      </c>
      <c r="D20" t="s">
        <v>486</v>
      </c>
      <c r="E20" t="s">
        <v>249</v>
      </c>
    </row>
    <row r="21" spans="1:5" ht="14.25" customHeight="1" x14ac:dyDescent="0.25">
      <c r="A21">
        <v>2024</v>
      </c>
      <c r="B21" s="4">
        <v>9</v>
      </c>
      <c r="C21" s="1" t="s">
        <v>510</v>
      </c>
      <c r="D21" t="s">
        <v>491</v>
      </c>
      <c r="E21" t="s">
        <v>250</v>
      </c>
    </row>
    <row r="22" spans="1:5" ht="14.25" customHeight="1" x14ac:dyDescent="0.25">
      <c r="A22">
        <v>2024</v>
      </c>
      <c r="B22" s="4">
        <v>10</v>
      </c>
      <c r="C22" s="1" t="s">
        <v>508</v>
      </c>
      <c r="D22" t="s">
        <v>488</v>
      </c>
      <c r="E22" t="s">
        <v>249</v>
      </c>
    </row>
    <row r="23" spans="1:5" ht="14.25" customHeight="1" x14ac:dyDescent="0.25">
      <c r="A23">
        <v>2024</v>
      </c>
      <c r="B23" s="4">
        <v>6</v>
      </c>
      <c r="C23" s="1" t="s">
        <v>529</v>
      </c>
      <c r="D23" t="s">
        <v>276</v>
      </c>
      <c r="E23" t="s">
        <v>250</v>
      </c>
    </row>
    <row r="24" spans="1:5" ht="14.25" customHeight="1" x14ac:dyDescent="0.25">
      <c r="A24">
        <v>2023</v>
      </c>
      <c r="B24" s="4">
        <v>4</v>
      </c>
      <c r="C24" t="s">
        <v>485</v>
      </c>
      <c r="D24" t="s">
        <v>486</v>
      </c>
      <c r="E24" t="s">
        <v>249</v>
      </c>
    </row>
    <row r="25" spans="1:5" ht="14.25" customHeight="1" x14ac:dyDescent="0.25">
      <c r="A25">
        <v>2023</v>
      </c>
      <c r="B25" s="4">
        <v>1</v>
      </c>
      <c r="C25" t="s">
        <v>512</v>
      </c>
      <c r="D25" t="s">
        <v>252</v>
      </c>
      <c r="E25" t="s">
        <v>249</v>
      </c>
    </row>
    <row r="26" spans="1:5" ht="14.25" customHeight="1" x14ac:dyDescent="0.25">
      <c r="A26">
        <v>2023</v>
      </c>
      <c r="B26" s="4">
        <v>7</v>
      </c>
      <c r="C26" s="1" t="s">
        <v>528</v>
      </c>
      <c r="D26" s="4" t="s">
        <v>246</v>
      </c>
      <c r="E26" t="s">
        <v>247</v>
      </c>
    </row>
    <row r="27" spans="1:5" ht="14.25" customHeight="1" x14ac:dyDescent="0.25">
      <c r="A27">
        <v>2023</v>
      </c>
      <c r="B27" s="4">
        <v>5</v>
      </c>
      <c r="C27" s="1" t="s">
        <v>530</v>
      </c>
      <c r="D27" t="s">
        <v>487</v>
      </c>
      <c r="E27" t="s">
        <v>249</v>
      </c>
    </row>
    <row r="28" spans="1:5" ht="14.25" customHeight="1" x14ac:dyDescent="0.25">
      <c r="A28">
        <v>2023</v>
      </c>
      <c r="B28" s="4">
        <v>2</v>
      </c>
      <c r="C28" s="1" t="s">
        <v>520</v>
      </c>
      <c r="D28" t="s">
        <v>483</v>
      </c>
      <c r="E28" t="s">
        <v>249</v>
      </c>
    </row>
    <row r="29" spans="1:5" ht="14.25" customHeight="1" x14ac:dyDescent="0.25">
      <c r="A29">
        <v>2023</v>
      </c>
      <c r="B29" s="4">
        <v>9</v>
      </c>
      <c r="C29" t="s">
        <v>24</v>
      </c>
      <c r="D29" s="13" t="s">
        <v>490</v>
      </c>
      <c r="E29" t="s">
        <v>249</v>
      </c>
    </row>
    <row r="30" spans="1:5" ht="14.25" customHeight="1" x14ac:dyDescent="0.25">
      <c r="A30">
        <v>2023</v>
      </c>
      <c r="B30" s="4">
        <v>3</v>
      </c>
      <c r="C30" s="1" t="s">
        <v>509</v>
      </c>
      <c r="D30" t="s">
        <v>484</v>
      </c>
      <c r="E30" t="s">
        <v>249</v>
      </c>
    </row>
    <row r="31" spans="1:5" ht="14.25" customHeight="1" x14ac:dyDescent="0.25">
      <c r="A31">
        <v>2023</v>
      </c>
      <c r="B31" s="4">
        <v>8</v>
      </c>
      <c r="C31" s="1" t="s">
        <v>510</v>
      </c>
      <c r="D31" s="13" t="s">
        <v>489</v>
      </c>
      <c r="E31" t="s">
        <v>249</v>
      </c>
    </row>
    <row r="32" spans="1:5" ht="14.25" customHeight="1" x14ac:dyDescent="0.25">
      <c r="A32">
        <v>2023</v>
      </c>
      <c r="B32" s="4">
        <v>6</v>
      </c>
      <c r="C32" s="1" t="s">
        <v>508</v>
      </c>
      <c r="D32" t="s">
        <v>488</v>
      </c>
      <c r="E32" t="s">
        <v>249</v>
      </c>
    </row>
    <row r="33" spans="1:5" ht="14.25" customHeight="1" x14ac:dyDescent="0.25">
      <c r="A33">
        <v>2023</v>
      </c>
      <c r="B33" s="4">
        <v>10</v>
      </c>
      <c r="C33" s="1" t="s">
        <v>529</v>
      </c>
      <c r="D33" s="13" t="s">
        <v>491</v>
      </c>
      <c r="E33" t="s">
        <v>250</v>
      </c>
    </row>
    <row r="34" spans="1:5" ht="14.25" customHeight="1" x14ac:dyDescent="0.25">
      <c r="A34" s="8">
        <v>2022</v>
      </c>
      <c r="B34" s="4">
        <v>1</v>
      </c>
      <c r="C34" s="1" t="s">
        <v>511</v>
      </c>
      <c r="D34" t="s">
        <v>476</v>
      </c>
      <c r="E34" s="4" t="s">
        <v>247</v>
      </c>
    </row>
    <row r="35" spans="1:5" ht="14.25" customHeight="1" x14ac:dyDescent="0.25">
      <c r="A35" s="8">
        <v>2022</v>
      </c>
      <c r="B35" s="4">
        <v>5</v>
      </c>
      <c r="C35" s="8" t="s">
        <v>512</v>
      </c>
      <c r="D35" t="s">
        <v>477</v>
      </c>
      <c r="E35" s="8" t="s">
        <v>250</v>
      </c>
    </row>
    <row r="36" spans="1:5" ht="14.25" customHeight="1" x14ac:dyDescent="0.25">
      <c r="A36" s="8">
        <v>2022</v>
      </c>
      <c r="B36" s="4">
        <v>7</v>
      </c>
      <c r="C36" s="1" t="s">
        <v>528</v>
      </c>
      <c r="D36" t="s">
        <v>479</v>
      </c>
      <c r="E36" s="8" t="s">
        <v>250</v>
      </c>
    </row>
    <row r="37" spans="1:5" ht="14.25" customHeight="1" x14ac:dyDescent="0.25">
      <c r="A37" s="8">
        <v>2022</v>
      </c>
      <c r="B37" s="4">
        <v>6</v>
      </c>
      <c r="C37" s="1" t="s">
        <v>530</v>
      </c>
      <c r="D37" t="s">
        <v>478</v>
      </c>
      <c r="E37" s="4" t="s">
        <v>247</v>
      </c>
    </row>
    <row r="38" spans="1:5" ht="14.25" customHeight="1" x14ac:dyDescent="0.25">
      <c r="A38" s="8">
        <v>2022</v>
      </c>
      <c r="B38" s="4">
        <v>2</v>
      </c>
      <c r="C38" s="1" t="s">
        <v>520</v>
      </c>
      <c r="D38" s="4" t="s">
        <v>255</v>
      </c>
      <c r="E38" s="4" t="s">
        <v>247</v>
      </c>
    </row>
    <row r="39" spans="1:5" ht="14.25" customHeight="1" x14ac:dyDescent="0.25">
      <c r="A39" s="8">
        <v>2022</v>
      </c>
      <c r="B39" s="4">
        <v>3</v>
      </c>
      <c r="C39" t="s">
        <v>24</v>
      </c>
      <c r="D39" s="4" t="s">
        <v>246</v>
      </c>
      <c r="E39" s="4" t="s">
        <v>247</v>
      </c>
    </row>
    <row r="40" spans="1:5" ht="14.25" customHeight="1" x14ac:dyDescent="0.25">
      <c r="A40" s="8">
        <v>2022</v>
      </c>
      <c r="B40" s="4">
        <v>8</v>
      </c>
      <c r="C40" s="1" t="s">
        <v>509</v>
      </c>
      <c r="D40" t="s">
        <v>480</v>
      </c>
      <c r="E40" s="8" t="s">
        <v>250</v>
      </c>
    </row>
    <row r="41" spans="1:5" ht="14.25" customHeight="1" x14ac:dyDescent="0.25">
      <c r="A41" s="8">
        <v>2022</v>
      </c>
      <c r="B41" s="4">
        <v>4</v>
      </c>
      <c r="C41" s="1" t="s">
        <v>510</v>
      </c>
      <c r="D41" s="4" t="s">
        <v>260</v>
      </c>
      <c r="E41" s="4" t="s">
        <v>247</v>
      </c>
    </row>
    <row r="42" spans="1:5" ht="14.25" customHeight="1" x14ac:dyDescent="0.25">
      <c r="A42" s="8">
        <v>2022</v>
      </c>
      <c r="B42" s="4">
        <v>9</v>
      </c>
      <c r="C42" s="1" t="s">
        <v>508</v>
      </c>
      <c r="D42" t="s">
        <v>481</v>
      </c>
      <c r="E42" s="4" t="s">
        <v>247</v>
      </c>
    </row>
    <row r="43" spans="1:5" ht="14.25" customHeight="1" x14ac:dyDescent="0.25">
      <c r="A43" s="8">
        <v>2022</v>
      </c>
      <c r="B43" s="4">
        <v>10</v>
      </c>
      <c r="C43" s="1" t="s">
        <v>529</v>
      </c>
      <c r="D43" s="4" t="s">
        <v>258</v>
      </c>
      <c r="E43" s="4" t="s">
        <v>247</v>
      </c>
    </row>
    <row r="44" spans="1:5" ht="14.25" customHeight="1" x14ac:dyDescent="0.25">
      <c r="A44" s="4">
        <v>2021</v>
      </c>
      <c r="B44" s="4">
        <v>3</v>
      </c>
      <c r="C44" s="1" t="s">
        <v>511</v>
      </c>
      <c r="D44" s="4" t="s">
        <v>255</v>
      </c>
      <c r="E44" s="4" t="s">
        <v>247</v>
      </c>
    </row>
    <row r="45" spans="1:5" ht="14.25" customHeight="1" x14ac:dyDescent="0.25">
      <c r="A45" s="4">
        <v>2021</v>
      </c>
      <c r="B45" s="4">
        <v>4</v>
      </c>
      <c r="C45" s="4" t="s">
        <v>512</v>
      </c>
      <c r="D45" s="4" t="s">
        <v>258</v>
      </c>
      <c r="E45" s="4" t="s">
        <v>247</v>
      </c>
    </row>
    <row r="46" spans="1:5" ht="14.25" customHeight="1" x14ac:dyDescent="0.25">
      <c r="A46" s="4">
        <v>2021</v>
      </c>
      <c r="B46" s="4">
        <v>8</v>
      </c>
      <c r="C46" s="1" t="s">
        <v>528</v>
      </c>
      <c r="D46" s="4" t="s">
        <v>264</v>
      </c>
      <c r="E46" s="4" t="s">
        <v>250</v>
      </c>
    </row>
    <row r="47" spans="1:5" ht="14.25" customHeight="1" x14ac:dyDescent="0.25">
      <c r="A47" s="4">
        <v>2021</v>
      </c>
      <c r="B47" s="4">
        <v>9</v>
      </c>
      <c r="C47" s="1" t="s">
        <v>530</v>
      </c>
      <c r="D47" s="4" t="s">
        <v>266</v>
      </c>
      <c r="E47" s="4" t="s">
        <v>249</v>
      </c>
    </row>
    <row r="48" spans="1:5" ht="14.25" customHeight="1" x14ac:dyDescent="0.25">
      <c r="A48" s="4">
        <v>2021</v>
      </c>
      <c r="B48" s="4">
        <v>6</v>
      </c>
      <c r="C48" s="1" t="s">
        <v>520</v>
      </c>
      <c r="D48" s="4" t="s">
        <v>262</v>
      </c>
      <c r="E48" s="4" t="s">
        <v>247</v>
      </c>
    </row>
    <row r="49" spans="1:5" ht="14.25" customHeight="1" x14ac:dyDescent="0.25">
      <c r="A49" s="4">
        <v>2021</v>
      </c>
      <c r="B49" s="4">
        <v>1</v>
      </c>
      <c r="C49" t="s">
        <v>24</v>
      </c>
      <c r="D49" s="4" t="s">
        <v>246</v>
      </c>
      <c r="E49" s="4" t="s">
        <v>247</v>
      </c>
    </row>
    <row r="50" spans="1:5" ht="14.25" customHeight="1" x14ac:dyDescent="0.25">
      <c r="A50" s="4">
        <v>2021</v>
      </c>
      <c r="B50" s="4">
        <v>5</v>
      </c>
      <c r="C50" s="1" t="s">
        <v>509</v>
      </c>
      <c r="D50" s="4" t="s">
        <v>260</v>
      </c>
      <c r="E50" s="4" t="s">
        <v>247</v>
      </c>
    </row>
    <row r="51" spans="1:5" ht="14.25" customHeight="1" x14ac:dyDescent="0.25">
      <c r="A51" s="4">
        <v>2021</v>
      </c>
      <c r="B51" s="4">
        <v>7</v>
      </c>
      <c r="C51" s="1" t="s">
        <v>510</v>
      </c>
      <c r="D51" s="4" t="s">
        <v>253</v>
      </c>
      <c r="E51" s="4" t="s">
        <v>247</v>
      </c>
    </row>
    <row r="52" spans="1:5" ht="14.25" customHeight="1" x14ac:dyDescent="0.25">
      <c r="A52" s="4">
        <v>2021</v>
      </c>
      <c r="B52" s="4">
        <v>2</v>
      </c>
      <c r="C52" s="1" t="s">
        <v>508</v>
      </c>
      <c r="D52" s="4" t="s">
        <v>252</v>
      </c>
      <c r="E52" s="4" t="s">
        <v>249</v>
      </c>
    </row>
    <row r="53" spans="1:5" ht="14.25" customHeight="1" x14ac:dyDescent="0.25">
      <c r="A53" s="4">
        <v>2021</v>
      </c>
      <c r="B53" s="4">
        <v>10</v>
      </c>
      <c r="C53" s="1" t="s">
        <v>529</v>
      </c>
      <c r="D53" s="4" t="s">
        <v>269</v>
      </c>
      <c r="E53" s="4" t="s">
        <v>247</v>
      </c>
    </row>
    <row r="54" spans="1:5" ht="14.25" customHeight="1" x14ac:dyDescent="0.25">
      <c r="A54" s="4">
        <v>2020</v>
      </c>
      <c r="B54" s="4">
        <v>2</v>
      </c>
      <c r="C54" s="1" t="s">
        <v>529</v>
      </c>
      <c r="D54" s="4" t="s">
        <v>253</v>
      </c>
      <c r="E54" s="4" t="s">
        <v>247</v>
      </c>
    </row>
    <row r="55" spans="1:5" ht="14.25" customHeight="1" x14ac:dyDescent="0.25">
      <c r="A55" s="4">
        <v>2020</v>
      </c>
      <c r="B55" s="4">
        <v>7</v>
      </c>
      <c r="C55" s="1" t="s">
        <v>511</v>
      </c>
      <c r="D55" s="4" t="s">
        <v>252</v>
      </c>
      <c r="E55" s="4" t="s">
        <v>249</v>
      </c>
    </row>
    <row r="56" spans="1:5" ht="14.25" customHeight="1" x14ac:dyDescent="0.25">
      <c r="A56" s="4">
        <v>2020</v>
      </c>
      <c r="B56" s="4">
        <v>3</v>
      </c>
      <c r="C56" s="4" t="s">
        <v>512</v>
      </c>
      <c r="D56" s="4" t="s">
        <v>261</v>
      </c>
      <c r="E56" s="4" t="s">
        <v>250</v>
      </c>
    </row>
    <row r="57" spans="1:5" ht="14.25" customHeight="1" x14ac:dyDescent="0.25">
      <c r="A57" s="4">
        <v>2020</v>
      </c>
      <c r="B57" s="4">
        <v>6</v>
      </c>
      <c r="C57" s="1" t="s">
        <v>528</v>
      </c>
      <c r="D57" s="4" t="s">
        <v>273</v>
      </c>
      <c r="E57" s="4" t="s">
        <v>247</v>
      </c>
    </row>
    <row r="58" spans="1:5" ht="14.25" customHeight="1" x14ac:dyDescent="0.25">
      <c r="A58" s="4">
        <v>2020</v>
      </c>
      <c r="B58" s="4">
        <v>9</v>
      </c>
      <c r="C58" s="1" t="s">
        <v>530</v>
      </c>
      <c r="D58" s="4" t="s">
        <v>275</v>
      </c>
      <c r="E58" s="4" t="s">
        <v>249</v>
      </c>
    </row>
    <row r="59" spans="1:5" ht="14.25" customHeight="1" x14ac:dyDescent="0.25">
      <c r="A59" s="4">
        <v>2020</v>
      </c>
      <c r="B59" s="4">
        <v>1</v>
      </c>
      <c r="C59" s="1" t="s">
        <v>520</v>
      </c>
      <c r="D59" s="4" t="s">
        <v>246</v>
      </c>
      <c r="E59" s="4" t="s">
        <v>247</v>
      </c>
    </row>
    <row r="60" spans="1:5" ht="14.25" customHeight="1" x14ac:dyDescent="0.25">
      <c r="A60" s="4">
        <v>2020</v>
      </c>
      <c r="B60" s="4">
        <v>10</v>
      </c>
      <c r="C60" t="s">
        <v>24</v>
      </c>
      <c r="D60" s="4" t="s">
        <v>258</v>
      </c>
      <c r="E60" s="4" t="s">
        <v>247</v>
      </c>
    </row>
    <row r="61" spans="1:5" ht="14.25" customHeight="1" x14ac:dyDescent="0.25">
      <c r="A61" s="4">
        <v>2020</v>
      </c>
      <c r="B61" s="4">
        <v>8</v>
      </c>
      <c r="C61" s="1" t="s">
        <v>509</v>
      </c>
      <c r="D61" s="4" t="s">
        <v>274</v>
      </c>
      <c r="E61" s="4" t="s">
        <v>247</v>
      </c>
    </row>
    <row r="62" spans="1:5" ht="14.25" customHeight="1" x14ac:dyDescent="0.25">
      <c r="A62" s="4">
        <v>2020</v>
      </c>
      <c r="B62" s="4">
        <v>4</v>
      </c>
      <c r="C62" s="1" t="s">
        <v>510</v>
      </c>
      <c r="D62" s="4" t="s">
        <v>260</v>
      </c>
      <c r="E62" s="4" t="s">
        <v>247</v>
      </c>
    </row>
    <row r="63" spans="1:5" ht="14.25" customHeight="1" x14ac:dyDescent="0.25">
      <c r="A63" s="4">
        <v>2020</v>
      </c>
      <c r="B63" s="4">
        <v>5</v>
      </c>
      <c r="C63" s="1" t="s">
        <v>508</v>
      </c>
      <c r="D63" s="4" t="s">
        <v>268</v>
      </c>
      <c r="E63" s="4" t="s">
        <v>247</v>
      </c>
    </row>
    <row r="64" spans="1:5" ht="14.25" customHeight="1" x14ac:dyDescent="0.25">
      <c r="A64" s="4">
        <v>2019</v>
      </c>
      <c r="B64" s="4">
        <v>4</v>
      </c>
      <c r="C64" s="1" t="s">
        <v>529</v>
      </c>
      <c r="D64" s="4" t="s">
        <v>252</v>
      </c>
      <c r="E64" s="4" t="s">
        <v>249</v>
      </c>
    </row>
    <row r="65" spans="1:5" ht="14.25" customHeight="1" x14ac:dyDescent="0.25">
      <c r="A65" s="4">
        <v>2019</v>
      </c>
      <c r="B65" s="4">
        <v>3</v>
      </c>
      <c r="C65" s="1" t="s">
        <v>511</v>
      </c>
      <c r="D65" s="4" t="s">
        <v>258</v>
      </c>
      <c r="E65" s="4" t="s">
        <v>247</v>
      </c>
    </row>
    <row r="66" spans="1:5" ht="14.25" customHeight="1" x14ac:dyDescent="0.25">
      <c r="A66" s="4">
        <v>2019</v>
      </c>
      <c r="B66" s="4">
        <v>10</v>
      </c>
      <c r="C66" s="1" t="s">
        <v>521</v>
      </c>
      <c r="D66" s="4" t="s">
        <v>272</v>
      </c>
      <c r="E66" s="4" t="s">
        <v>250</v>
      </c>
    </row>
    <row r="67" spans="1:5" ht="14.25" customHeight="1" x14ac:dyDescent="0.25">
      <c r="A67" s="4">
        <v>2019</v>
      </c>
      <c r="B67" s="4">
        <v>5</v>
      </c>
      <c r="C67" s="4" t="s">
        <v>512</v>
      </c>
      <c r="D67" s="4" t="s">
        <v>256</v>
      </c>
      <c r="E67" s="4" t="s">
        <v>247</v>
      </c>
    </row>
    <row r="68" spans="1:5" ht="14.25" customHeight="1" x14ac:dyDescent="0.25">
      <c r="A68" s="4">
        <v>2019</v>
      </c>
      <c r="B68" s="4">
        <v>2</v>
      </c>
      <c r="C68" s="1" t="s">
        <v>528</v>
      </c>
      <c r="D68" s="4" t="s">
        <v>253</v>
      </c>
      <c r="E68" s="4" t="s">
        <v>247</v>
      </c>
    </row>
    <row r="69" spans="1:5" ht="14.25" customHeight="1" x14ac:dyDescent="0.25">
      <c r="A69" s="4">
        <v>2019</v>
      </c>
      <c r="B69" s="4">
        <v>6</v>
      </c>
      <c r="C69" s="1" t="s">
        <v>520</v>
      </c>
      <c r="D69" s="4" t="s">
        <v>276</v>
      </c>
      <c r="E69" s="4" t="s">
        <v>250</v>
      </c>
    </row>
    <row r="70" spans="1:5" ht="14.25" customHeight="1" x14ac:dyDescent="0.25">
      <c r="A70" s="4">
        <v>2019</v>
      </c>
      <c r="B70" s="4">
        <v>9</v>
      </c>
      <c r="C70" t="s">
        <v>24</v>
      </c>
      <c r="D70" s="4" t="s">
        <v>257</v>
      </c>
      <c r="E70" s="4" t="s">
        <v>249</v>
      </c>
    </row>
    <row r="71" spans="1:5" ht="14.25" customHeight="1" x14ac:dyDescent="0.25">
      <c r="A71" s="4">
        <v>2019</v>
      </c>
      <c r="B71" s="4">
        <v>1</v>
      </c>
      <c r="C71" s="1" t="s">
        <v>509</v>
      </c>
      <c r="D71" s="4" t="s">
        <v>246</v>
      </c>
      <c r="E71" s="4" t="s">
        <v>247</v>
      </c>
    </row>
    <row r="72" spans="1:5" ht="14.25" customHeight="1" x14ac:dyDescent="0.25">
      <c r="A72" s="4">
        <v>2019</v>
      </c>
      <c r="B72" s="4">
        <v>7</v>
      </c>
      <c r="C72" s="1" t="s">
        <v>510</v>
      </c>
      <c r="D72" s="4" t="s">
        <v>259</v>
      </c>
      <c r="E72" s="4" t="s">
        <v>247</v>
      </c>
    </row>
    <row r="73" spans="1:5" ht="14.25" customHeight="1" x14ac:dyDescent="0.25">
      <c r="A73" s="4">
        <v>2019</v>
      </c>
      <c r="B73" s="4">
        <v>8</v>
      </c>
      <c r="C73" s="1" t="s">
        <v>508</v>
      </c>
      <c r="D73" s="4" t="s">
        <v>268</v>
      </c>
      <c r="E73" s="4" t="s">
        <v>247</v>
      </c>
    </row>
    <row r="74" spans="1:5" ht="14.25" customHeight="1" x14ac:dyDescent="0.25">
      <c r="A74" s="4">
        <v>2018</v>
      </c>
      <c r="B74" s="4">
        <v>8</v>
      </c>
      <c r="C74" s="1" t="s">
        <v>529</v>
      </c>
      <c r="D74" s="4" t="s">
        <v>272</v>
      </c>
      <c r="E74" s="4" t="s">
        <v>250</v>
      </c>
    </row>
    <row r="75" spans="1:5" ht="14.25" customHeight="1" x14ac:dyDescent="0.25">
      <c r="A75" s="4">
        <v>2018</v>
      </c>
      <c r="B75" s="4">
        <v>1</v>
      </c>
      <c r="C75" s="1" t="s">
        <v>511</v>
      </c>
      <c r="D75" s="4" t="s">
        <v>259</v>
      </c>
      <c r="E75" s="4" t="s">
        <v>247</v>
      </c>
    </row>
    <row r="76" spans="1:5" ht="14.25" customHeight="1" x14ac:dyDescent="0.25">
      <c r="A76" s="4">
        <v>2018</v>
      </c>
      <c r="B76" s="4">
        <v>10</v>
      </c>
      <c r="C76" s="1" t="s">
        <v>521</v>
      </c>
      <c r="D76" s="4" t="s">
        <v>282</v>
      </c>
      <c r="E76" s="4" t="s">
        <v>247</v>
      </c>
    </row>
    <row r="77" spans="1:5" ht="14.25" customHeight="1" x14ac:dyDescent="0.25">
      <c r="A77" s="4">
        <v>2018</v>
      </c>
      <c r="B77" s="4">
        <v>2</v>
      </c>
      <c r="C77" s="4" t="s">
        <v>512</v>
      </c>
      <c r="D77" s="4" t="s">
        <v>253</v>
      </c>
      <c r="E77" s="4" t="s">
        <v>247</v>
      </c>
    </row>
    <row r="78" spans="1:5" ht="14.25" customHeight="1" x14ac:dyDescent="0.25">
      <c r="A78" s="4">
        <v>2018</v>
      </c>
      <c r="B78" s="4">
        <v>9</v>
      </c>
      <c r="C78" s="1" t="s">
        <v>528</v>
      </c>
      <c r="D78" s="4" t="s">
        <v>258</v>
      </c>
      <c r="E78" s="4" t="s">
        <v>247</v>
      </c>
    </row>
    <row r="79" spans="1:5" ht="14.25" customHeight="1" x14ac:dyDescent="0.25">
      <c r="A79" s="4">
        <v>2018</v>
      </c>
      <c r="B79" s="4">
        <v>4</v>
      </c>
      <c r="C79" s="1" t="s">
        <v>520</v>
      </c>
      <c r="D79" s="4" t="s">
        <v>270</v>
      </c>
      <c r="E79" s="4" t="s">
        <v>250</v>
      </c>
    </row>
    <row r="80" spans="1:5" ht="14.25" customHeight="1" x14ac:dyDescent="0.25">
      <c r="A80" s="4">
        <v>2018</v>
      </c>
      <c r="B80" s="4">
        <v>3</v>
      </c>
      <c r="C80" t="s">
        <v>24</v>
      </c>
      <c r="D80" s="4" t="s">
        <v>263</v>
      </c>
      <c r="E80" s="4" t="s">
        <v>247</v>
      </c>
    </row>
    <row r="81" spans="1:5" ht="14.25" customHeight="1" x14ac:dyDescent="0.25">
      <c r="A81" s="4">
        <v>2018</v>
      </c>
      <c r="B81" s="4">
        <v>6</v>
      </c>
      <c r="C81" s="1" t="s">
        <v>509</v>
      </c>
      <c r="D81" s="4" t="s">
        <v>256</v>
      </c>
      <c r="E81" s="4" t="s">
        <v>247</v>
      </c>
    </row>
    <row r="82" spans="1:5" ht="14.25" customHeight="1" x14ac:dyDescent="0.25">
      <c r="A82" s="4">
        <v>2018</v>
      </c>
      <c r="B82" s="4">
        <v>5</v>
      </c>
      <c r="C82" s="1" t="s">
        <v>510</v>
      </c>
      <c r="D82" s="4" t="s">
        <v>268</v>
      </c>
      <c r="E82" s="4" t="s">
        <v>247</v>
      </c>
    </row>
    <row r="83" spans="1:5" ht="14.25" customHeight="1" x14ac:dyDescent="0.25">
      <c r="A83" s="4">
        <v>2018</v>
      </c>
      <c r="B83" s="4">
        <v>7</v>
      </c>
      <c r="C83" s="1" t="s">
        <v>508</v>
      </c>
      <c r="D83" s="4" t="s">
        <v>265</v>
      </c>
      <c r="E83" s="4" t="s">
        <v>250</v>
      </c>
    </row>
    <row r="84" spans="1:5" ht="14.25" customHeight="1" x14ac:dyDescent="0.25">
      <c r="A84" s="4">
        <v>2017</v>
      </c>
      <c r="B84" s="4">
        <v>8</v>
      </c>
      <c r="C84" s="1" t="s">
        <v>529</v>
      </c>
      <c r="D84" s="4" t="s">
        <v>279</v>
      </c>
      <c r="E84" s="4" t="s">
        <v>251</v>
      </c>
    </row>
    <row r="85" spans="1:5" ht="14.25" customHeight="1" x14ac:dyDescent="0.25">
      <c r="A85" s="4">
        <v>2017</v>
      </c>
      <c r="B85" s="4">
        <v>1</v>
      </c>
      <c r="C85" s="1" t="s">
        <v>511</v>
      </c>
      <c r="D85" s="4" t="s">
        <v>257</v>
      </c>
      <c r="E85" s="4" t="s">
        <v>249</v>
      </c>
    </row>
    <row r="86" spans="1:5" ht="14.25" customHeight="1" x14ac:dyDescent="0.25">
      <c r="A86" s="4">
        <v>2017</v>
      </c>
      <c r="B86" s="4">
        <v>4</v>
      </c>
      <c r="C86" s="1" t="s">
        <v>521</v>
      </c>
      <c r="D86" s="4" t="s">
        <v>263</v>
      </c>
      <c r="E86" s="4" t="s">
        <v>247</v>
      </c>
    </row>
    <row r="87" spans="1:5" ht="14.25" customHeight="1" x14ac:dyDescent="0.25">
      <c r="A87" s="4">
        <v>2017</v>
      </c>
      <c r="B87" s="4">
        <v>9</v>
      </c>
      <c r="C87" s="4" t="s">
        <v>512</v>
      </c>
      <c r="D87" s="4" t="s">
        <v>281</v>
      </c>
      <c r="E87" s="4" t="s">
        <v>250</v>
      </c>
    </row>
    <row r="88" spans="1:5" ht="14.25" customHeight="1" x14ac:dyDescent="0.25">
      <c r="A88" s="4">
        <v>2017</v>
      </c>
      <c r="B88" s="4">
        <v>3</v>
      </c>
      <c r="C88" s="1" t="s">
        <v>528</v>
      </c>
      <c r="D88" s="4" t="s">
        <v>267</v>
      </c>
      <c r="E88" s="4" t="s">
        <v>250</v>
      </c>
    </row>
    <row r="89" spans="1:5" ht="14.25" customHeight="1" x14ac:dyDescent="0.25">
      <c r="A89" s="4">
        <v>2017</v>
      </c>
      <c r="B89" s="4">
        <v>6</v>
      </c>
      <c r="C89" s="1" t="s">
        <v>520</v>
      </c>
      <c r="D89" s="4" t="s">
        <v>277</v>
      </c>
      <c r="E89" s="4" t="s">
        <v>247</v>
      </c>
    </row>
    <row r="90" spans="1:5" ht="14.25" customHeight="1" x14ac:dyDescent="0.25">
      <c r="A90" s="4">
        <v>2017</v>
      </c>
      <c r="B90" s="4">
        <v>7</v>
      </c>
      <c r="C90" t="s">
        <v>24</v>
      </c>
      <c r="D90" s="4" t="s">
        <v>265</v>
      </c>
      <c r="E90" s="4" t="s">
        <v>250</v>
      </c>
    </row>
    <row r="91" spans="1:5" ht="14.25" customHeight="1" x14ac:dyDescent="0.25">
      <c r="A91" s="4">
        <v>2017</v>
      </c>
      <c r="B91" s="4">
        <v>2</v>
      </c>
      <c r="C91" s="1" t="s">
        <v>509</v>
      </c>
      <c r="D91" s="4" t="s">
        <v>256</v>
      </c>
      <c r="E91" s="4" t="s">
        <v>247</v>
      </c>
    </row>
    <row r="92" spans="1:5" ht="14.25" customHeight="1" x14ac:dyDescent="0.25">
      <c r="A92" s="4">
        <v>2017</v>
      </c>
      <c r="B92" s="4">
        <v>10</v>
      </c>
      <c r="C92" s="1" t="s">
        <v>510</v>
      </c>
      <c r="D92" s="4" t="s">
        <v>283</v>
      </c>
      <c r="E92" s="4" t="s">
        <v>250</v>
      </c>
    </row>
    <row r="93" spans="1:5" ht="14.25" customHeight="1" x14ac:dyDescent="0.25">
      <c r="A93" s="4">
        <v>2017</v>
      </c>
      <c r="B93" s="4">
        <v>5</v>
      </c>
      <c r="C93" s="1" t="s">
        <v>508</v>
      </c>
      <c r="D93" s="4" t="s">
        <v>271</v>
      </c>
      <c r="E93" s="4" t="s">
        <v>250</v>
      </c>
    </row>
    <row r="94" spans="1:5" ht="14.25" customHeight="1" x14ac:dyDescent="0.25">
      <c r="A94" s="4">
        <v>2016</v>
      </c>
      <c r="B94" s="4">
        <v>4</v>
      </c>
      <c r="C94" s="1" t="s">
        <v>511</v>
      </c>
      <c r="D94" s="4" t="s">
        <v>271</v>
      </c>
      <c r="E94" s="4" t="s">
        <v>250</v>
      </c>
    </row>
    <row r="95" spans="1:5" ht="14.25" customHeight="1" x14ac:dyDescent="0.25">
      <c r="A95" s="4">
        <v>2016</v>
      </c>
      <c r="B95" s="4">
        <v>8</v>
      </c>
      <c r="C95" s="1" t="s">
        <v>521</v>
      </c>
      <c r="D95" s="4" t="s">
        <v>280</v>
      </c>
      <c r="E95" s="4" t="s">
        <v>247</v>
      </c>
    </row>
    <row r="96" spans="1:5" ht="14.25" customHeight="1" x14ac:dyDescent="0.25">
      <c r="A96" s="4">
        <v>2016</v>
      </c>
      <c r="B96" s="4">
        <v>6</v>
      </c>
      <c r="C96" s="4" t="s">
        <v>512</v>
      </c>
      <c r="D96" s="4" t="s">
        <v>278</v>
      </c>
      <c r="E96" s="4" t="s">
        <v>247</v>
      </c>
    </row>
    <row r="97" spans="1:5" ht="14.25" customHeight="1" x14ac:dyDescent="0.25">
      <c r="A97" s="4">
        <v>2016</v>
      </c>
      <c r="B97" s="4">
        <v>2</v>
      </c>
      <c r="C97" s="1" t="s">
        <v>520</v>
      </c>
      <c r="D97" s="4" t="s">
        <v>265</v>
      </c>
      <c r="E97" s="4" t="s">
        <v>250</v>
      </c>
    </row>
    <row r="98" spans="1:5" ht="14.25" customHeight="1" x14ac:dyDescent="0.25">
      <c r="A98" s="4">
        <v>2016</v>
      </c>
      <c r="B98" s="4">
        <v>5</v>
      </c>
      <c r="C98" s="4" t="s">
        <v>9</v>
      </c>
      <c r="D98" s="4" t="s">
        <v>267</v>
      </c>
      <c r="E98" s="4" t="s">
        <v>250</v>
      </c>
    </row>
    <row r="99" spans="1:5" ht="14.25" customHeight="1" x14ac:dyDescent="0.25">
      <c r="A99" s="4">
        <v>2016</v>
      </c>
      <c r="B99" s="4">
        <v>7</v>
      </c>
      <c r="C99" s="1" t="s">
        <v>509</v>
      </c>
      <c r="D99" s="4" t="s">
        <v>256</v>
      </c>
      <c r="E99" s="4" t="s">
        <v>247</v>
      </c>
    </row>
    <row r="100" spans="1:5" ht="14.25" customHeight="1" x14ac:dyDescent="0.25">
      <c r="A100" s="4">
        <v>2016</v>
      </c>
      <c r="B100" s="4">
        <v>3</v>
      </c>
      <c r="C100" s="1" t="s">
        <v>510</v>
      </c>
      <c r="D100" s="4" t="s">
        <v>259</v>
      </c>
      <c r="E100" s="4" t="s">
        <v>247</v>
      </c>
    </row>
    <row r="101" spans="1:5" ht="14.25" customHeight="1" x14ac:dyDescent="0.25">
      <c r="A101" s="4">
        <v>2016</v>
      </c>
      <c r="B101" s="4">
        <v>1</v>
      </c>
      <c r="C101" s="1" t="s">
        <v>508</v>
      </c>
      <c r="D101" s="4" t="s">
        <v>254</v>
      </c>
      <c r="E101" s="4" t="s">
        <v>249</v>
      </c>
    </row>
    <row r="102" spans="1:5" ht="14.25" customHeight="1" x14ac:dyDescent="0.25"/>
    <row r="103" spans="1:5" ht="14.25" customHeight="1" x14ac:dyDescent="0.25"/>
    <row r="104" spans="1:5" ht="14.25" customHeight="1" x14ac:dyDescent="0.25"/>
    <row r="105" spans="1:5" ht="14.25" customHeight="1" x14ac:dyDescent="0.25"/>
    <row r="106" spans="1:5" ht="14.25" customHeight="1" x14ac:dyDescent="0.25"/>
    <row r="107" spans="1:5" ht="14.25" customHeight="1" x14ac:dyDescent="0.25"/>
    <row r="108" spans="1:5" ht="14.25" customHeight="1" x14ac:dyDescent="0.25"/>
    <row r="109" spans="1:5" ht="14.25" customHeight="1" x14ac:dyDescent="0.25"/>
    <row r="110" spans="1:5" ht="14.25" customHeight="1" x14ac:dyDescent="0.25"/>
    <row r="111" spans="1:5" ht="14.25" customHeight="1" x14ac:dyDescent="0.25"/>
    <row r="112" spans="1:5" ht="14.25" customHeight="1" x14ac:dyDescent="0.25"/>
    <row r="113" ht="14.25" customHeight="1" x14ac:dyDescent="0.25"/>
    <row r="114" ht="14.25" customHeight="1" x14ac:dyDescent="0.25"/>
    <row r="115" ht="14.25" customHeight="1" x14ac:dyDescent="0.25"/>
    <row r="116" ht="14.25" customHeight="1" x14ac:dyDescent="0.25"/>
    <row r="117" ht="14.25" customHeight="1" x14ac:dyDescent="0.25"/>
    <row r="118" ht="14.25" customHeight="1" x14ac:dyDescent="0.25"/>
    <row r="119" ht="14.25" customHeight="1" x14ac:dyDescent="0.25"/>
    <row r="120" ht="14.25" customHeight="1" x14ac:dyDescent="0.25"/>
    <row r="121" ht="14.25" customHeight="1" x14ac:dyDescent="0.25"/>
    <row r="122" ht="14.25" customHeight="1" x14ac:dyDescent="0.25"/>
    <row r="123" ht="14.25" customHeight="1" x14ac:dyDescent="0.25"/>
    <row r="124" ht="14.25" customHeight="1" x14ac:dyDescent="0.25"/>
    <row r="125" ht="14.25" customHeight="1" x14ac:dyDescent="0.25"/>
    <row r="126" ht="14.25" customHeight="1" x14ac:dyDescent="0.25"/>
    <row r="127" ht="14.25" customHeight="1" x14ac:dyDescent="0.25"/>
    <row r="128" ht="14.25" customHeight="1" x14ac:dyDescent="0.25"/>
    <row r="129" ht="14.25" customHeight="1" x14ac:dyDescent="0.25"/>
    <row r="130" ht="14.25" customHeight="1" x14ac:dyDescent="0.25"/>
    <row r="131" ht="14.25" customHeight="1" x14ac:dyDescent="0.25"/>
    <row r="132" ht="14.25" customHeight="1" x14ac:dyDescent="0.25"/>
    <row r="133" ht="14.25" customHeight="1" x14ac:dyDescent="0.25"/>
    <row r="134" ht="14.25" customHeight="1" x14ac:dyDescent="0.25"/>
    <row r="135" ht="14.25" customHeight="1" x14ac:dyDescent="0.25"/>
    <row r="136" ht="14.25" customHeight="1" x14ac:dyDescent="0.25"/>
    <row r="137" ht="14.25" customHeight="1" x14ac:dyDescent="0.25"/>
    <row r="138" ht="14.25" customHeight="1" x14ac:dyDescent="0.25"/>
    <row r="139" ht="14.25" customHeight="1" x14ac:dyDescent="0.25"/>
    <row r="140" ht="14.25" customHeight="1" x14ac:dyDescent="0.25"/>
    <row r="141" ht="14.25" customHeight="1" x14ac:dyDescent="0.25"/>
    <row r="142" ht="14.25" customHeight="1" x14ac:dyDescent="0.25"/>
    <row r="143" ht="14.25" customHeight="1" x14ac:dyDescent="0.25"/>
    <row r="144" ht="14.25" customHeight="1" x14ac:dyDescent="0.25"/>
    <row r="145" ht="14.25" customHeight="1" x14ac:dyDescent="0.25"/>
    <row r="146" ht="14.25" customHeight="1" x14ac:dyDescent="0.25"/>
    <row r="147" ht="14.25" customHeight="1" x14ac:dyDescent="0.25"/>
    <row r="148" ht="14.25" customHeight="1" x14ac:dyDescent="0.25"/>
    <row r="149" ht="14.25" customHeight="1" x14ac:dyDescent="0.25"/>
    <row r="150" ht="14.25" customHeight="1" x14ac:dyDescent="0.25"/>
    <row r="151" ht="14.25" customHeight="1" x14ac:dyDescent="0.25"/>
    <row r="152" ht="14.25" customHeight="1" x14ac:dyDescent="0.25"/>
    <row r="153" ht="14.25" customHeight="1" x14ac:dyDescent="0.25"/>
    <row r="154" ht="14.25" customHeight="1" x14ac:dyDescent="0.25"/>
    <row r="155" ht="14.25" customHeight="1" x14ac:dyDescent="0.25"/>
    <row r="156" ht="14.25" customHeight="1" x14ac:dyDescent="0.25"/>
    <row r="157" ht="14.25" customHeight="1" x14ac:dyDescent="0.25"/>
    <row r="158" ht="14.25" customHeight="1" x14ac:dyDescent="0.25"/>
    <row r="159" ht="14.25" customHeight="1" x14ac:dyDescent="0.25"/>
    <row r="160" ht="14.25" customHeight="1" x14ac:dyDescent="0.25"/>
    <row r="161" ht="14.25" customHeight="1" x14ac:dyDescent="0.25"/>
    <row r="162" ht="14.25" customHeight="1" x14ac:dyDescent="0.25"/>
    <row r="163" ht="14.25" customHeight="1" x14ac:dyDescent="0.25"/>
    <row r="164" ht="14.25" customHeight="1" x14ac:dyDescent="0.25"/>
    <row r="165" ht="14.25" customHeight="1" x14ac:dyDescent="0.25"/>
    <row r="166" ht="14.25" customHeight="1" x14ac:dyDescent="0.25"/>
    <row r="167" ht="14.25" customHeight="1" x14ac:dyDescent="0.25"/>
    <row r="168" ht="14.25" customHeight="1" x14ac:dyDescent="0.25"/>
    <row r="169" ht="14.25" customHeight="1" x14ac:dyDescent="0.25"/>
    <row r="170" ht="14.25" customHeight="1" x14ac:dyDescent="0.25"/>
    <row r="171" ht="14.25" customHeight="1" x14ac:dyDescent="0.25"/>
    <row r="172" ht="14.25" customHeight="1" x14ac:dyDescent="0.25"/>
    <row r="173" ht="14.25" customHeight="1" x14ac:dyDescent="0.25"/>
    <row r="174" ht="14.25" customHeight="1" x14ac:dyDescent="0.25"/>
    <row r="175" ht="14.25" customHeight="1" x14ac:dyDescent="0.25"/>
    <row r="176" ht="14.25" customHeight="1" x14ac:dyDescent="0.25"/>
    <row r="177" ht="14.25" customHeight="1" x14ac:dyDescent="0.25"/>
    <row r="178" ht="14.25" customHeight="1" x14ac:dyDescent="0.25"/>
    <row r="179" ht="14.25" customHeight="1" x14ac:dyDescent="0.25"/>
    <row r="180" ht="14.25" customHeight="1" x14ac:dyDescent="0.25"/>
    <row r="181" ht="14.25" customHeight="1" x14ac:dyDescent="0.25"/>
    <row r="182" ht="14.25" customHeight="1" x14ac:dyDescent="0.25"/>
    <row r="183" ht="14.25" customHeight="1" x14ac:dyDescent="0.25"/>
    <row r="184" ht="14.25" customHeight="1" x14ac:dyDescent="0.25"/>
    <row r="185" ht="14.25" customHeight="1" x14ac:dyDescent="0.25"/>
    <row r="186" ht="14.25" customHeight="1" x14ac:dyDescent="0.25"/>
    <row r="187" ht="14.25" customHeight="1" x14ac:dyDescent="0.25"/>
    <row r="188" ht="14.25" customHeight="1" x14ac:dyDescent="0.25"/>
    <row r="189" ht="14.25" customHeight="1" x14ac:dyDescent="0.25"/>
    <row r="190" ht="14.25" customHeight="1" x14ac:dyDescent="0.25"/>
    <row r="191" ht="14.25" customHeight="1" x14ac:dyDescent="0.25"/>
    <row r="192" ht="14.25" customHeight="1" x14ac:dyDescent="0.25"/>
    <row r="193" ht="14.25" customHeight="1" x14ac:dyDescent="0.25"/>
    <row r="194" ht="14.25" customHeight="1" x14ac:dyDescent="0.25"/>
    <row r="195" ht="14.25" customHeight="1" x14ac:dyDescent="0.25"/>
    <row r="196" ht="14.25" customHeight="1" x14ac:dyDescent="0.25"/>
    <row r="197" ht="14.25" customHeight="1" x14ac:dyDescent="0.25"/>
    <row r="198" ht="14.25" customHeight="1" x14ac:dyDescent="0.25"/>
    <row r="199" ht="14.25" customHeight="1" x14ac:dyDescent="0.25"/>
    <row r="200" ht="14.25" customHeight="1" x14ac:dyDescent="0.25"/>
    <row r="201" ht="14.25" customHeight="1" x14ac:dyDescent="0.25"/>
    <row r="202" ht="14.25" customHeight="1" x14ac:dyDescent="0.25"/>
    <row r="203" ht="14.25" customHeight="1" x14ac:dyDescent="0.25"/>
    <row r="204" ht="14.25" customHeight="1" x14ac:dyDescent="0.25"/>
    <row r="205" ht="14.25" customHeight="1" x14ac:dyDescent="0.25"/>
    <row r="206" ht="14.25" customHeight="1" x14ac:dyDescent="0.25"/>
    <row r="207" ht="14.25" customHeight="1" x14ac:dyDescent="0.25"/>
    <row r="208" ht="14.25" customHeight="1" x14ac:dyDescent="0.25"/>
    <row r="209" ht="14.25" customHeight="1" x14ac:dyDescent="0.25"/>
    <row r="210" ht="14.25" customHeight="1" x14ac:dyDescent="0.25"/>
    <row r="211" ht="14.25" customHeight="1" x14ac:dyDescent="0.25"/>
    <row r="212" ht="14.25" customHeight="1" x14ac:dyDescent="0.25"/>
    <row r="213" ht="14.25" customHeight="1" x14ac:dyDescent="0.25"/>
    <row r="214" ht="14.25" customHeight="1" x14ac:dyDescent="0.25"/>
    <row r="215" ht="14.25" customHeight="1" x14ac:dyDescent="0.25"/>
    <row r="216" ht="14.25" customHeight="1" x14ac:dyDescent="0.25"/>
    <row r="217" ht="14.25" customHeight="1" x14ac:dyDescent="0.25"/>
    <row r="218" ht="14.25" customHeight="1" x14ac:dyDescent="0.25"/>
    <row r="219" ht="14.25" customHeight="1" x14ac:dyDescent="0.25"/>
    <row r="220" ht="14.25" customHeight="1" x14ac:dyDescent="0.25"/>
    <row r="221" ht="14.25" customHeight="1" x14ac:dyDescent="0.25"/>
    <row r="222" ht="14.25" customHeight="1" x14ac:dyDescent="0.25"/>
    <row r="223" ht="14.25" customHeight="1" x14ac:dyDescent="0.25"/>
    <row r="224" ht="14.25" customHeight="1" x14ac:dyDescent="0.25"/>
    <row r="225" ht="14.25" customHeight="1" x14ac:dyDescent="0.25"/>
    <row r="226" ht="14.25" customHeight="1" x14ac:dyDescent="0.25"/>
    <row r="227" ht="14.25" customHeight="1" x14ac:dyDescent="0.25"/>
    <row r="228" ht="14.25" customHeight="1" x14ac:dyDescent="0.25"/>
    <row r="229" ht="14.25" customHeight="1" x14ac:dyDescent="0.25"/>
    <row r="230" ht="14.25" customHeight="1" x14ac:dyDescent="0.25"/>
    <row r="231" ht="14.25" customHeight="1" x14ac:dyDescent="0.25"/>
    <row r="232" ht="14.25" customHeight="1" x14ac:dyDescent="0.25"/>
    <row r="233" ht="14.25" customHeight="1" x14ac:dyDescent="0.25"/>
    <row r="234" ht="14.25" customHeight="1" x14ac:dyDescent="0.25"/>
    <row r="235" ht="14.25" customHeight="1" x14ac:dyDescent="0.25"/>
    <row r="236" ht="14.25" customHeight="1" x14ac:dyDescent="0.25"/>
    <row r="237" ht="14.25" customHeight="1" x14ac:dyDescent="0.25"/>
    <row r="238" ht="14.25" customHeight="1" x14ac:dyDescent="0.25"/>
    <row r="239" ht="14.25" customHeight="1" x14ac:dyDescent="0.25"/>
    <row r="240" ht="14.25" customHeight="1" x14ac:dyDescent="0.25"/>
    <row r="241" ht="14.25" customHeight="1" x14ac:dyDescent="0.25"/>
    <row r="242" ht="14.25" customHeight="1" x14ac:dyDescent="0.25"/>
    <row r="243" ht="14.25" customHeight="1" x14ac:dyDescent="0.25"/>
    <row r="244" ht="14.25" customHeight="1" x14ac:dyDescent="0.25"/>
    <row r="245" ht="14.25" customHeight="1" x14ac:dyDescent="0.25"/>
    <row r="246" ht="14.25" customHeight="1" x14ac:dyDescent="0.25"/>
    <row r="247" ht="14.25" customHeight="1" x14ac:dyDescent="0.25"/>
    <row r="248" ht="14.25" customHeight="1" x14ac:dyDescent="0.25"/>
    <row r="249" ht="14.25" customHeight="1" x14ac:dyDescent="0.25"/>
    <row r="250" ht="14.25" customHeight="1" x14ac:dyDescent="0.25"/>
    <row r="251" ht="14.25" customHeight="1" x14ac:dyDescent="0.25"/>
    <row r="252" ht="14.25" customHeight="1" x14ac:dyDescent="0.25"/>
    <row r="253" ht="14.25" customHeight="1" x14ac:dyDescent="0.25"/>
    <row r="254" ht="14.25" customHeight="1" x14ac:dyDescent="0.25"/>
    <row r="255" ht="14.25" customHeight="1" x14ac:dyDescent="0.25"/>
    <row r="256" ht="14.25" customHeight="1" x14ac:dyDescent="0.25"/>
    <row r="257" ht="14.25" customHeight="1" x14ac:dyDescent="0.25"/>
    <row r="258" ht="14.25" customHeight="1" x14ac:dyDescent="0.25"/>
    <row r="259" ht="14.25" customHeight="1" x14ac:dyDescent="0.25"/>
    <row r="260" ht="14.25" customHeight="1" x14ac:dyDescent="0.25"/>
    <row r="261" ht="14.25" customHeight="1" x14ac:dyDescent="0.25"/>
    <row r="262" ht="14.25" customHeight="1" x14ac:dyDescent="0.25"/>
    <row r="263" ht="14.25" customHeight="1" x14ac:dyDescent="0.25"/>
    <row r="264" ht="14.25" customHeight="1" x14ac:dyDescent="0.25"/>
    <row r="265" ht="14.25" customHeight="1" x14ac:dyDescent="0.25"/>
    <row r="266" ht="14.25" customHeight="1" x14ac:dyDescent="0.25"/>
    <row r="267" ht="14.25" customHeight="1" x14ac:dyDescent="0.25"/>
    <row r="268" ht="14.25" customHeight="1" x14ac:dyDescent="0.25"/>
    <row r="269" ht="14.25" customHeight="1" x14ac:dyDescent="0.25"/>
    <row r="270" ht="14.25" customHeight="1" x14ac:dyDescent="0.25"/>
    <row r="271" ht="14.25" customHeight="1" x14ac:dyDescent="0.25"/>
    <row r="272" ht="14.25" customHeight="1" x14ac:dyDescent="0.25"/>
    <row r="273" ht="14.25" customHeight="1" x14ac:dyDescent="0.25"/>
    <row r="274" ht="14.25" customHeight="1" x14ac:dyDescent="0.25"/>
    <row r="275" ht="14.25" customHeight="1" x14ac:dyDescent="0.25"/>
    <row r="276" ht="14.25" customHeight="1" x14ac:dyDescent="0.25"/>
    <row r="277" ht="14.25" customHeight="1" x14ac:dyDescent="0.25"/>
    <row r="278" ht="14.25" customHeight="1" x14ac:dyDescent="0.25"/>
    <row r="279" ht="14.25" customHeight="1" x14ac:dyDescent="0.25"/>
    <row r="280" ht="14.25" customHeight="1" x14ac:dyDescent="0.25"/>
    <row r="281" ht="14.25" customHeight="1" x14ac:dyDescent="0.25"/>
    <row r="282" ht="14.25" customHeight="1" x14ac:dyDescent="0.25"/>
    <row r="283" ht="14.25" customHeight="1" x14ac:dyDescent="0.25"/>
    <row r="284" ht="14.25" customHeight="1" x14ac:dyDescent="0.25"/>
    <row r="285" ht="14.25" customHeight="1" x14ac:dyDescent="0.25"/>
    <row r="286" ht="14.25" customHeight="1" x14ac:dyDescent="0.25"/>
    <row r="287" ht="14.25" customHeight="1" x14ac:dyDescent="0.25"/>
    <row r="288" ht="14.25" customHeight="1" x14ac:dyDescent="0.25"/>
    <row r="289" ht="14.25" customHeight="1" x14ac:dyDescent="0.25"/>
    <row r="290" ht="14.25" customHeight="1" x14ac:dyDescent="0.25"/>
    <row r="291" ht="14.25" customHeight="1" x14ac:dyDescent="0.25"/>
    <row r="292" ht="14.25" customHeight="1" x14ac:dyDescent="0.25"/>
    <row r="293" ht="14.25" customHeight="1" x14ac:dyDescent="0.25"/>
    <row r="294" ht="14.25" customHeight="1" x14ac:dyDescent="0.25"/>
    <row r="295" ht="14.25" customHeight="1" x14ac:dyDescent="0.25"/>
    <row r="296" ht="14.25" customHeight="1" x14ac:dyDescent="0.25"/>
    <row r="297" ht="14.25" customHeight="1" x14ac:dyDescent="0.25"/>
    <row r="298" ht="14.25" customHeight="1" x14ac:dyDescent="0.25"/>
    <row r="299" ht="14.25" customHeight="1" x14ac:dyDescent="0.25"/>
    <row r="300" ht="14.25" customHeight="1" x14ac:dyDescent="0.25"/>
    <row r="301" ht="14.25" customHeight="1" x14ac:dyDescent="0.25"/>
    <row r="302" ht="14.25" customHeight="1" x14ac:dyDescent="0.25"/>
    <row r="303" ht="14.25" customHeight="1" x14ac:dyDescent="0.25"/>
    <row r="304" ht="14.25" customHeight="1" x14ac:dyDescent="0.25"/>
    <row r="305" ht="14.25" customHeight="1" x14ac:dyDescent="0.25"/>
    <row r="306" ht="14.25" customHeight="1" x14ac:dyDescent="0.25"/>
    <row r="307" ht="14.25" customHeight="1" x14ac:dyDescent="0.25"/>
    <row r="308" ht="14.25" customHeight="1" x14ac:dyDescent="0.25"/>
    <row r="309" ht="14.25" customHeight="1" x14ac:dyDescent="0.25"/>
    <row r="310" ht="14.25" customHeight="1" x14ac:dyDescent="0.25"/>
    <row r="311" ht="14.25" customHeight="1" x14ac:dyDescent="0.25"/>
    <row r="312" ht="14.25" customHeight="1" x14ac:dyDescent="0.25"/>
    <row r="313" ht="14.25" customHeight="1" x14ac:dyDescent="0.25"/>
    <row r="314" ht="14.25" customHeight="1" x14ac:dyDescent="0.25"/>
    <row r="315" ht="14.25" customHeight="1" x14ac:dyDescent="0.25"/>
    <row r="316" ht="14.25" customHeight="1" x14ac:dyDescent="0.25"/>
    <row r="317" ht="14.25" customHeight="1" x14ac:dyDescent="0.25"/>
    <row r="318" ht="14.25" customHeight="1" x14ac:dyDescent="0.25"/>
    <row r="319" ht="14.25" customHeight="1" x14ac:dyDescent="0.25"/>
    <row r="320" ht="14.25" customHeight="1" x14ac:dyDescent="0.25"/>
    <row r="321" ht="14.25" customHeight="1" x14ac:dyDescent="0.25"/>
    <row r="322" ht="14.25" customHeight="1" x14ac:dyDescent="0.25"/>
    <row r="323" ht="14.25" customHeight="1" x14ac:dyDescent="0.25"/>
    <row r="324" ht="14.25" customHeight="1" x14ac:dyDescent="0.25"/>
    <row r="325" ht="14.25" customHeight="1" x14ac:dyDescent="0.25"/>
    <row r="326" ht="14.25" customHeight="1" x14ac:dyDescent="0.25"/>
    <row r="327" ht="14.25" customHeight="1" x14ac:dyDescent="0.25"/>
    <row r="328" ht="14.25" customHeight="1" x14ac:dyDescent="0.25"/>
    <row r="329" ht="14.25" customHeight="1" x14ac:dyDescent="0.25"/>
    <row r="330" ht="14.25" customHeight="1" x14ac:dyDescent="0.25"/>
    <row r="331" ht="14.25" customHeight="1" x14ac:dyDescent="0.25"/>
    <row r="332" ht="14.25" customHeight="1" x14ac:dyDescent="0.25"/>
    <row r="333" ht="14.25" customHeight="1" x14ac:dyDescent="0.25"/>
    <row r="334" ht="14.25" customHeight="1" x14ac:dyDescent="0.25"/>
    <row r="335" ht="14.25" customHeight="1" x14ac:dyDescent="0.25"/>
    <row r="336" ht="14.25" customHeight="1" x14ac:dyDescent="0.25"/>
    <row r="337" ht="14.25" customHeight="1" x14ac:dyDescent="0.25"/>
    <row r="338" ht="14.25" customHeight="1" x14ac:dyDescent="0.25"/>
    <row r="339" ht="14.25" customHeight="1" x14ac:dyDescent="0.25"/>
    <row r="340" ht="14.25" customHeight="1" x14ac:dyDescent="0.25"/>
    <row r="341" ht="14.25" customHeight="1" x14ac:dyDescent="0.25"/>
    <row r="342" ht="14.25" customHeight="1" x14ac:dyDescent="0.25"/>
    <row r="343" ht="14.25" customHeight="1" x14ac:dyDescent="0.25"/>
    <row r="344" ht="14.25" customHeight="1" x14ac:dyDescent="0.25"/>
    <row r="345" ht="14.25" customHeight="1" x14ac:dyDescent="0.25"/>
    <row r="346" ht="14.25" customHeight="1" x14ac:dyDescent="0.25"/>
    <row r="347" ht="14.25" customHeight="1" x14ac:dyDescent="0.25"/>
    <row r="348" ht="14.25" customHeight="1" x14ac:dyDescent="0.25"/>
    <row r="349" ht="14.25" customHeight="1" x14ac:dyDescent="0.25"/>
    <row r="350" ht="14.25" customHeight="1" x14ac:dyDescent="0.25"/>
    <row r="351" ht="14.25" customHeight="1" x14ac:dyDescent="0.25"/>
    <row r="352" ht="14.25" customHeight="1" x14ac:dyDescent="0.25"/>
    <row r="353" ht="14.25" customHeight="1" x14ac:dyDescent="0.25"/>
    <row r="354" ht="14.25" customHeight="1" x14ac:dyDescent="0.25"/>
    <row r="355" ht="14.25" customHeight="1" x14ac:dyDescent="0.25"/>
    <row r="356" ht="14.25" customHeight="1" x14ac:dyDescent="0.25"/>
    <row r="357" ht="14.25" customHeight="1" x14ac:dyDescent="0.25"/>
    <row r="358" ht="14.25" customHeight="1" x14ac:dyDescent="0.25"/>
    <row r="359" ht="14.25" customHeight="1" x14ac:dyDescent="0.25"/>
    <row r="360" ht="14.25" customHeight="1" x14ac:dyDescent="0.25"/>
    <row r="361" ht="14.25" customHeight="1" x14ac:dyDescent="0.25"/>
    <row r="362" ht="14.25" customHeight="1" x14ac:dyDescent="0.25"/>
    <row r="363" ht="14.25" customHeight="1" x14ac:dyDescent="0.25"/>
    <row r="364" ht="14.25" customHeight="1" x14ac:dyDescent="0.25"/>
    <row r="365" ht="14.25" customHeight="1" x14ac:dyDescent="0.25"/>
    <row r="366" ht="14.25" customHeight="1" x14ac:dyDescent="0.25"/>
    <row r="367" ht="14.25" customHeight="1" x14ac:dyDescent="0.25"/>
    <row r="368" ht="14.25" customHeight="1" x14ac:dyDescent="0.25"/>
    <row r="369" ht="14.25" customHeight="1" x14ac:dyDescent="0.25"/>
    <row r="370" ht="14.25" customHeight="1" x14ac:dyDescent="0.25"/>
    <row r="371" ht="14.25" customHeight="1" x14ac:dyDescent="0.25"/>
    <row r="372" ht="14.25" customHeight="1" x14ac:dyDescent="0.25"/>
    <row r="373" ht="14.25" customHeight="1" x14ac:dyDescent="0.25"/>
    <row r="374" ht="14.25" customHeight="1" x14ac:dyDescent="0.25"/>
    <row r="375" ht="14.25" customHeight="1" x14ac:dyDescent="0.25"/>
    <row r="376" ht="14.25" customHeight="1" x14ac:dyDescent="0.25"/>
    <row r="377" ht="14.25" customHeight="1" x14ac:dyDescent="0.25"/>
    <row r="378" ht="14.25" customHeight="1" x14ac:dyDescent="0.25"/>
    <row r="379" ht="14.25" customHeight="1" x14ac:dyDescent="0.25"/>
    <row r="380" ht="14.25" customHeight="1" x14ac:dyDescent="0.25"/>
    <row r="381" ht="14.25" customHeight="1" x14ac:dyDescent="0.25"/>
    <row r="382" ht="14.25" customHeight="1" x14ac:dyDescent="0.25"/>
    <row r="383" ht="14.25" customHeight="1" x14ac:dyDescent="0.25"/>
    <row r="384" ht="14.25" customHeight="1" x14ac:dyDescent="0.25"/>
    <row r="385" ht="14.25" customHeight="1" x14ac:dyDescent="0.25"/>
    <row r="386" ht="14.25" customHeight="1" x14ac:dyDescent="0.25"/>
    <row r="387" ht="14.25" customHeight="1" x14ac:dyDescent="0.25"/>
    <row r="388" ht="14.25" customHeight="1" x14ac:dyDescent="0.25"/>
    <row r="389" ht="14.25" customHeight="1" x14ac:dyDescent="0.25"/>
    <row r="390" ht="14.25" customHeight="1" x14ac:dyDescent="0.25"/>
    <row r="391" ht="14.25" customHeight="1" x14ac:dyDescent="0.25"/>
    <row r="392" ht="14.25" customHeight="1" x14ac:dyDescent="0.25"/>
    <row r="393" ht="14.25" customHeight="1" x14ac:dyDescent="0.25"/>
    <row r="394" ht="14.25" customHeight="1" x14ac:dyDescent="0.25"/>
    <row r="395" ht="14.25" customHeight="1" x14ac:dyDescent="0.25"/>
    <row r="396" ht="14.25" customHeight="1" x14ac:dyDescent="0.25"/>
    <row r="397" ht="14.25" customHeight="1" x14ac:dyDescent="0.25"/>
    <row r="398" ht="14.25" customHeight="1" x14ac:dyDescent="0.25"/>
    <row r="399" ht="14.25" customHeight="1" x14ac:dyDescent="0.25"/>
    <row r="400" ht="14.25" customHeight="1" x14ac:dyDescent="0.25"/>
    <row r="401" ht="14.25" customHeight="1" x14ac:dyDescent="0.25"/>
    <row r="402" ht="14.25" customHeight="1" x14ac:dyDescent="0.25"/>
    <row r="403" ht="14.25" customHeight="1" x14ac:dyDescent="0.25"/>
    <row r="404" ht="14.25" customHeight="1" x14ac:dyDescent="0.25"/>
    <row r="405" ht="14.25" customHeight="1" x14ac:dyDescent="0.25"/>
    <row r="406" ht="14.25" customHeight="1" x14ac:dyDescent="0.25"/>
    <row r="407" ht="14.25" customHeight="1" x14ac:dyDescent="0.25"/>
    <row r="408" ht="14.25" customHeight="1" x14ac:dyDescent="0.25"/>
    <row r="409" ht="14.25" customHeight="1" x14ac:dyDescent="0.25"/>
    <row r="410" ht="14.25" customHeight="1" x14ac:dyDescent="0.25"/>
    <row r="411" ht="14.25" customHeight="1" x14ac:dyDescent="0.25"/>
    <row r="412" ht="14.25" customHeight="1" x14ac:dyDescent="0.25"/>
    <row r="413" ht="14.25" customHeight="1" x14ac:dyDescent="0.25"/>
    <row r="414" ht="14.25" customHeight="1" x14ac:dyDescent="0.25"/>
    <row r="415" ht="14.25" customHeight="1" x14ac:dyDescent="0.25"/>
    <row r="416" ht="14.25" customHeight="1" x14ac:dyDescent="0.25"/>
    <row r="417" ht="14.25" customHeight="1" x14ac:dyDescent="0.25"/>
    <row r="418" ht="14.25" customHeight="1" x14ac:dyDescent="0.25"/>
    <row r="419" ht="14.25" customHeight="1" x14ac:dyDescent="0.25"/>
    <row r="420" ht="14.25" customHeight="1" x14ac:dyDescent="0.25"/>
    <row r="421" ht="14.25" customHeight="1" x14ac:dyDescent="0.25"/>
    <row r="422" ht="14.25" customHeight="1" x14ac:dyDescent="0.25"/>
    <row r="423" ht="14.25" customHeight="1" x14ac:dyDescent="0.25"/>
    <row r="424" ht="14.25" customHeight="1" x14ac:dyDescent="0.25"/>
    <row r="425" ht="14.25" customHeight="1" x14ac:dyDescent="0.25"/>
    <row r="426" ht="14.25" customHeight="1" x14ac:dyDescent="0.25"/>
    <row r="427" ht="14.25" customHeight="1" x14ac:dyDescent="0.25"/>
    <row r="428" ht="14.25" customHeight="1" x14ac:dyDescent="0.25"/>
    <row r="429" ht="14.25" customHeight="1" x14ac:dyDescent="0.25"/>
    <row r="430" ht="14.25" customHeight="1" x14ac:dyDescent="0.25"/>
    <row r="431" ht="14.25" customHeight="1" x14ac:dyDescent="0.25"/>
    <row r="432" ht="14.25" customHeight="1" x14ac:dyDescent="0.25"/>
    <row r="433" ht="14.25" customHeight="1" x14ac:dyDescent="0.25"/>
    <row r="434" ht="14.25" customHeight="1" x14ac:dyDescent="0.25"/>
    <row r="435" ht="14.25" customHeight="1" x14ac:dyDescent="0.25"/>
    <row r="436" ht="14.25" customHeight="1" x14ac:dyDescent="0.25"/>
    <row r="437" ht="14.25" customHeight="1" x14ac:dyDescent="0.25"/>
    <row r="438" ht="14.25" customHeight="1" x14ac:dyDescent="0.25"/>
    <row r="439" ht="14.25" customHeight="1" x14ac:dyDescent="0.25"/>
    <row r="440" ht="14.25" customHeight="1" x14ac:dyDescent="0.25"/>
    <row r="441" ht="14.25" customHeight="1" x14ac:dyDescent="0.25"/>
    <row r="442" ht="14.25" customHeight="1" x14ac:dyDescent="0.25"/>
    <row r="443" ht="14.25" customHeight="1" x14ac:dyDescent="0.25"/>
    <row r="444" ht="14.25" customHeight="1" x14ac:dyDescent="0.25"/>
    <row r="445" ht="14.25" customHeight="1" x14ac:dyDescent="0.25"/>
    <row r="446" ht="14.25" customHeight="1" x14ac:dyDescent="0.25"/>
    <row r="447" ht="14.25" customHeight="1" x14ac:dyDescent="0.25"/>
    <row r="448" ht="14.25" customHeight="1" x14ac:dyDescent="0.25"/>
    <row r="449" ht="14.25" customHeight="1" x14ac:dyDescent="0.25"/>
    <row r="450" ht="14.25" customHeight="1" x14ac:dyDescent="0.25"/>
    <row r="451" ht="14.25" customHeight="1" x14ac:dyDescent="0.25"/>
    <row r="452" ht="14.25" customHeight="1" x14ac:dyDescent="0.25"/>
    <row r="453" ht="14.25" customHeight="1" x14ac:dyDescent="0.25"/>
    <row r="454" ht="14.25" customHeight="1" x14ac:dyDescent="0.25"/>
    <row r="455" ht="14.25" customHeight="1" x14ac:dyDescent="0.25"/>
    <row r="456" ht="14.25" customHeight="1" x14ac:dyDescent="0.25"/>
    <row r="457" ht="14.25" customHeight="1" x14ac:dyDescent="0.25"/>
    <row r="458" ht="14.25" customHeight="1" x14ac:dyDescent="0.25"/>
    <row r="459" ht="14.25" customHeight="1" x14ac:dyDescent="0.25"/>
    <row r="460" ht="14.25" customHeight="1" x14ac:dyDescent="0.25"/>
    <row r="461" ht="14.25" customHeight="1" x14ac:dyDescent="0.25"/>
    <row r="462" ht="14.25" customHeight="1" x14ac:dyDescent="0.25"/>
    <row r="463" ht="14.25" customHeight="1" x14ac:dyDescent="0.25"/>
    <row r="464" ht="14.25" customHeight="1" x14ac:dyDescent="0.25"/>
    <row r="465" ht="14.25" customHeight="1" x14ac:dyDescent="0.25"/>
    <row r="466" ht="14.25" customHeight="1" x14ac:dyDescent="0.25"/>
    <row r="467" ht="14.25" customHeight="1" x14ac:dyDescent="0.25"/>
    <row r="468" ht="14.25" customHeight="1" x14ac:dyDescent="0.25"/>
    <row r="469" ht="14.25" customHeight="1" x14ac:dyDescent="0.25"/>
    <row r="470" ht="14.25" customHeight="1" x14ac:dyDescent="0.25"/>
    <row r="471" ht="14.25" customHeight="1" x14ac:dyDescent="0.25"/>
    <row r="472" ht="14.25" customHeight="1" x14ac:dyDescent="0.25"/>
    <row r="473" ht="14.25" customHeight="1" x14ac:dyDescent="0.25"/>
    <row r="474" ht="14.25" customHeight="1" x14ac:dyDescent="0.25"/>
    <row r="475" ht="14.25" customHeight="1" x14ac:dyDescent="0.25"/>
    <row r="476" ht="14.25" customHeight="1" x14ac:dyDescent="0.25"/>
    <row r="477" ht="14.25" customHeight="1" x14ac:dyDescent="0.25"/>
    <row r="478" ht="14.25" customHeight="1" x14ac:dyDescent="0.25"/>
    <row r="479" ht="14.25" customHeight="1" x14ac:dyDescent="0.25"/>
    <row r="480" ht="14.25" customHeight="1" x14ac:dyDescent="0.25"/>
    <row r="481" ht="14.25" customHeight="1" x14ac:dyDescent="0.25"/>
    <row r="482" ht="14.25" customHeight="1" x14ac:dyDescent="0.25"/>
    <row r="483" ht="14.25" customHeight="1" x14ac:dyDescent="0.25"/>
    <row r="484" ht="14.25" customHeight="1" x14ac:dyDescent="0.25"/>
    <row r="485" ht="14.25" customHeight="1" x14ac:dyDescent="0.25"/>
    <row r="486" ht="14.25" customHeight="1" x14ac:dyDescent="0.25"/>
    <row r="487" ht="14.25" customHeight="1" x14ac:dyDescent="0.25"/>
    <row r="488" ht="14.25" customHeight="1" x14ac:dyDescent="0.25"/>
    <row r="489" ht="14.25" customHeight="1" x14ac:dyDescent="0.25"/>
    <row r="490" ht="14.25" customHeight="1" x14ac:dyDescent="0.25"/>
    <row r="491" ht="14.25" customHeight="1" x14ac:dyDescent="0.25"/>
    <row r="492" ht="14.25" customHeight="1" x14ac:dyDescent="0.25"/>
    <row r="493" ht="14.25" customHeight="1" x14ac:dyDescent="0.25"/>
    <row r="494" ht="14.25" customHeight="1" x14ac:dyDescent="0.25"/>
    <row r="495" ht="14.25" customHeight="1" x14ac:dyDescent="0.25"/>
    <row r="496" ht="14.25" customHeight="1" x14ac:dyDescent="0.25"/>
    <row r="497" ht="14.25" customHeight="1" x14ac:dyDescent="0.25"/>
    <row r="498" ht="14.25" customHeight="1" x14ac:dyDescent="0.25"/>
    <row r="499" ht="14.25" customHeight="1" x14ac:dyDescent="0.25"/>
    <row r="500" ht="14.25" customHeight="1" x14ac:dyDescent="0.25"/>
    <row r="501" ht="14.25" customHeight="1" x14ac:dyDescent="0.25"/>
    <row r="502" ht="14.25" customHeight="1" x14ac:dyDescent="0.25"/>
    <row r="503" ht="14.25" customHeight="1" x14ac:dyDescent="0.25"/>
    <row r="504" ht="14.25" customHeight="1" x14ac:dyDescent="0.25"/>
    <row r="505" ht="14.25" customHeight="1" x14ac:dyDescent="0.25"/>
    <row r="506" ht="14.25" customHeight="1" x14ac:dyDescent="0.25"/>
    <row r="507" ht="14.25" customHeight="1" x14ac:dyDescent="0.25"/>
    <row r="508" ht="14.25" customHeight="1" x14ac:dyDescent="0.25"/>
    <row r="509" ht="14.25" customHeight="1" x14ac:dyDescent="0.25"/>
    <row r="510" ht="14.25" customHeight="1" x14ac:dyDescent="0.25"/>
    <row r="511" ht="14.25" customHeight="1" x14ac:dyDescent="0.25"/>
    <row r="512" ht="14.25" customHeight="1" x14ac:dyDescent="0.25"/>
    <row r="513" ht="14.25" customHeight="1" x14ac:dyDescent="0.25"/>
    <row r="514" ht="14.25" customHeight="1" x14ac:dyDescent="0.25"/>
    <row r="515" ht="14.25" customHeight="1" x14ac:dyDescent="0.25"/>
    <row r="516" ht="14.25" customHeight="1" x14ac:dyDescent="0.25"/>
    <row r="517" ht="14.25" customHeight="1" x14ac:dyDescent="0.25"/>
    <row r="518" ht="14.25" customHeight="1" x14ac:dyDescent="0.25"/>
    <row r="519" ht="14.25" customHeight="1" x14ac:dyDescent="0.25"/>
    <row r="520" ht="14.25" customHeight="1" x14ac:dyDescent="0.25"/>
    <row r="521" ht="14.25" customHeight="1" x14ac:dyDescent="0.25"/>
    <row r="522" ht="14.25" customHeight="1" x14ac:dyDescent="0.25"/>
    <row r="523" ht="14.25" customHeight="1" x14ac:dyDescent="0.25"/>
    <row r="524" ht="14.25" customHeight="1" x14ac:dyDescent="0.25"/>
    <row r="525" ht="14.25" customHeight="1" x14ac:dyDescent="0.25"/>
    <row r="526" ht="14.25" customHeight="1" x14ac:dyDescent="0.25"/>
    <row r="527" ht="14.25" customHeight="1" x14ac:dyDescent="0.25"/>
    <row r="528" ht="14.25" customHeight="1" x14ac:dyDescent="0.25"/>
    <row r="529" ht="14.25" customHeight="1" x14ac:dyDescent="0.25"/>
    <row r="530" ht="14.25" customHeight="1" x14ac:dyDescent="0.25"/>
    <row r="531" ht="14.25" customHeight="1" x14ac:dyDescent="0.25"/>
    <row r="532" ht="14.25" customHeight="1" x14ac:dyDescent="0.25"/>
    <row r="533" ht="14.25" customHeight="1" x14ac:dyDescent="0.25"/>
    <row r="534" ht="14.25" customHeight="1" x14ac:dyDescent="0.25"/>
    <row r="535" ht="14.25" customHeight="1" x14ac:dyDescent="0.25"/>
    <row r="536" ht="14.25" customHeight="1" x14ac:dyDescent="0.25"/>
    <row r="537" ht="14.25" customHeight="1" x14ac:dyDescent="0.25"/>
    <row r="538" ht="14.25" customHeight="1" x14ac:dyDescent="0.25"/>
    <row r="539" ht="14.25" customHeight="1" x14ac:dyDescent="0.25"/>
    <row r="540" ht="14.25" customHeight="1" x14ac:dyDescent="0.25"/>
    <row r="541" ht="14.25" customHeight="1" x14ac:dyDescent="0.25"/>
    <row r="542" ht="14.25" customHeight="1" x14ac:dyDescent="0.25"/>
    <row r="543" ht="14.25" customHeight="1" x14ac:dyDescent="0.25"/>
    <row r="544" ht="14.25" customHeight="1" x14ac:dyDescent="0.25"/>
    <row r="545" ht="14.25" customHeight="1" x14ac:dyDescent="0.25"/>
    <row r="546" ht="14.25" customHeight="1" x14ac:dyDescent="0.25"/>
    <row r="547" ht="14.25" customHeight="1" x14ac:dyDescent="0.25"/>
    <row r="548" ht="14.25" customHeight="1" x14ac:dyDescent="0.25"/>
    <row r="549" ht="14.25" customHeight="1" x14ac:dyDescent="0.25"/>
    <row r="550" ht="14.25" customHeight="1" x14ac:dyDescent="0.25"/>
    <row r="551" ht="14.25" customHeight="1" x14ac:dyDescent="0.25"/>
    <row r="552" ht="14.25" customHeight="1" x14ac:dyDescent="0.25"/>
    <row r="553" ht="14.25" customHeight="1" x14ac:dyDescent="0.25"/>
    <row r="554" ht="14.25" customHeight="1" x14ac:dyDescent="0.25"/>
    <row r="555" ht="14.25" customHeight="1" x14ac:dyDescent="0.25"/>
    <row r="556" ht="14.25" customHeight="1" x14ac:dyDescent="0.25"/>
    <row r="557" ht="14.25" customHeight="1" x14ac:dyDescent="0.25"/>
    <row r="558" ht="14.25" customHeight="1" x14ac:dyDescent="0.25"/>
    <row r="559" ht="14.25" customHeight="1" x14ac:dyDescent="0.25"/>
    <row r="560" ht="14.25" customHeight="1" x14ac:dyDescent="0.25"/>
    <row r="561" ht="14.25" customHeight="1" x14ac:dyDescent="0.25"/>
    <row r="562" ht="14.25" customHeight="1" x14ac:dyDescent="0.25"/>
    <row r="563" ht="14.25" customHeight="1" x14ac:dyDescent="0.25"/>
    <row r="564" ht="14.25" customHeight="1" x14ac:dyDescent="0.25"/>
    <row r="565" ht="14.25" customHeight="1" x14ac:dyDescent="0.25"/>
    <row r="566" ht="14.25" customHeight="1" x14ac:dyDescent="0.25"/>
    <row r="567" ht="14.25" customHeight="1" x14ac:dyDescent="0.25"/>
    <row r="568" ht="14.25" customHeight="1" x14ac:dyDescent="0.25"/>
    <row r="569" ht="14.25" customHeight="1" x14ac:dyDescent="0.25"/>
    <row r="570" ht="14.25" customHeight="1" x14ac:dyDescent="0.25"/>
    <row r="571" ht="14.25" customHeight="1" x14ac:dyDescent="0.25"/>
    <row r="572" ht="14.25" customHeight="1" x14ac:dyDescent="0.25"/>
    <row r="573" ht="14.25" customHeight="1" x14ac:dyDescent="0.25"/>
    <row r="574" ht="14.25" customHeight="1" x14ac:dyDescent="0.25"/>
    <row r="575" ht="14.25" customHeight="1" x14ac:dyDescent="0.25"/>
    <row r="576" ht="14.25" customHeight="1" x14ac:dyDescent="0.25"/>
    <row r="577" ht="14.25" customHeight="1" x14ac:dyDescent="0.25"/>
    <row r="578" ht="14.25" customHeight="1" x14ac:dyDescent="0.25"/>
    <row r="579" ht="14.25" customHeight="1" x14ac:dyDescent="0.25"/>
    <row r="580" ht="14.25" customHeight="1" x14ac:dyDescent="0.25"/>
    <row r="581" ht="14.25" customHeight="1" x14ac:dyDescent="0.25"/>
    <row r="582" ht="14.25" customHeight="1" x14ac:dyDescent="0.25"/>
    <row r="583" ht="14.25" customHeight="1" x14ac:dyDescent="0.25"/>
    <row r="584" ht="14.25" customHeight="1" x14ac:dyDescent="0.25"/>
    <row r="585" ht="14.25" customHeight="1" x14ac:dyDescent="0.25"/>
    <row r="586" ht="14.25" customHeight="1" x14ac:dyDescent="0.25"/>
    <row r="587" ht="14.25" customHeight="1" x14ac:dyDescent="0.25"/>
    <row r="588" ht="14.25" customHeight="1" x14ac:dyDescent="0.25"/>
    <row r="589" ht="14.25" customHeight="1" x14ac:dyDescent="0.25"/>
    <row r="590" ht="14.25" customHeight="1" x14ac:dyDescent="0.25"/>
    <row r="591" ht="14.25" customHeight="1" x14ac:dyDescent="0.25"/>
    <row r="592" ht="14.25" customHeight="1" x14ac:dyDescent="0.25"/>
    <row r="593" ht="14.25" customHeight="1" x14ac:dyDescent="0.25"/>
    <row r="594" ht="14.25" customHeight="1" x14ac:dyDescent="0.25"/>
    <row r="595" ht="14.25" customHeight="1" x14ac:dyDescent="0.25"/>
    <row r="596" ht="14.25" customHeight="1" x14ac:dyDescent="0.25"/>
    <row r="597" ht="14.25" customHeight="1" x14ac:dyDescent="0.25"/>
    <row r="598" ht="14.25" customHeight="1" x14ac:dyDescent="0.25"/>
    <row r="599" ht="14.25" customHeight="1" x14ac:dyDescent="0.25"/>
    <row r="600" ht="14.25" customHeight="1" x14ac:dyDescent="0.25"/>
    <row r="601" ht="14.25" customHeight="1" x14ac:dyDescent="0.25"/>
    <row r="602" ht="14.25" customHeight="1" x14ac:dyDescent="0.25"/>
    <row r="603" ht="14.25" customHeight="1" x14ac:dyDescent="0.25"/>
    <row r="604" ht="14.25" customHeight="1" x14ac:dyDescent="0.25"/>
    <row r="605" ht="14.25" customHeight="1" x14ac:dyDescent="0.25"/>
    <row r="606" ht="14.25" customHeight="1" x14ac:dyDescent="0.25"/>
    <row r="607" ht="14.25" customHeight="1" x14ac:dyDescent="0.25"/>
    <row r="608" ht="14.25" customHeight="1" x14ac:dyDescent="0.25"/>
    <row r="609" ht="14.25" customHeight="1" x14ac:dyDescent="0.25"/>
    <row r="610" ht="14.25" customHeight="1" x14ac:dyDescent="0.25"/>
    <row r="611" ht="14.25" customHeight="1" x14ac:dyDescent="0.25"/>
    <row r="612" ht="14.25" customHeight="1" x14ac:dyDescent="0.25"/>
    <row r="613" ht="14.25" customHeight="1" x14ac:dyDescent="0.25"/>
    <row r="614" ht="14.25" customHeight="1" x14ac:dyDescent="0.25"/>
    <row r="615" ht="14.25" customHeight="1" x14ac:dyDescent="0.25"/>
    <row r="616" ht="14.25" customHeight="1" x14ac:dyDescent="0.25"/>
    <row r="617" ht="14.25" customHeight="1" x14ac:dyDescent="0.25"/>
    <row r="618" ht="14.25" customHeight="1" x14ac:dyDescent="0.25"/>
    <row r="619" ht="14.25" customHeight="1" x14ac:dyDescent="0.25"/>
    <row r="620" ht="14.25" customHeight="1" x14ac:dyDescent="0.25"/>
    <row r="621" ht="14.25" customHeight="1" x14ac:dyDescent="0.25"/>
    <row r="622" ht="14.25" customHeight="1" x14ac:dyDescent="0.25"/>
    <row r="623" ht="14.25" customHeight="1" x14ac:dyDescent="0.25"/>
    <row r="624" ht="14.25" customHeight="1" x14ac:dyDescent="0.25"/>
    <row r="625" ht="14.25" customHeight="1" x14ac:dyDescent="0.25"/>
    <row r="626" ht="14.25" customHeight="1" x14ac:dyDescent="0.25"/>
    <row r="627" ht="14.25" customHeight="1" x14ac:dyDescent="0.25"/>
    <row r="628" ht="14.25" customHeight="1" x14ac:dyDescent="0.25"/>
    <row r="629" ht="14.25" customHeight="1" x14ac:dyDescent="0.25"/>
    <row r="630" ht="14.25" customHeight="1" x14ac:dyDescent="0.25"/>
    <row r="631" ht="14.25" customHeight="1" x14ac:dyDescent="0.25"/>
    <row r="632" ht="14.25" customHeight="1" x14ac:dyDescent="0.25"/>
    <row r="633" ht="14.25" customHeight="1" x14ac:dyDescent="0.25"/>
    <row r="634" ht="14.25" customHeight="1" x14ac:dyDescent="0.25"/>
    <row r="635" ht="14.25" customHeight="1" x14ac:dyDescent="0.25"/>
    <row r="636" ht="14.25" customHeight="1" x14ac:dyDescent="0.25"/>
    <row r="637" ht="14.25" customHeight="1" x14ac:dyDescent="0.25"/>
    <row r="638" ht="14.25" customHeight="1" x14ac:dyDescent="0.25"/>
    <row r="639" ht="14.25" customHeight="1" x14ac:dyDescent="0.25"/>
    <row r="640" ht="14.25" customHeight="1" x14ac:dyDescent="0.25"/>
    <row r="641" ht="14.25" customHeight="1" x14ac:dyDescent="0.25"/>
    <row r="642" ht="14.25" customHeight="1" x14ac:dyDescent="0.25"/>
    <row r="643" ht="14.25" customHeight="1" x14ac:dyDescent="0.25"/>
    <row r="644" ht="14.25" customHeight="1" x14ac:dyDescent="0.25"/>
    <row r="645" ht="14.25" customHeight="1" x14ac:dyDescent="0.25"/>
    <row r="646" ht="14.25" customHeight="1" x14ac:dyDescent="0.25"/>
    <row r="647" ht="14.25" customHeight="1" x14ac:dyDescent="0.25"/>
    <row r="648" ht="14.25" customHeight="1" x14ac:dyDescent="0.25"/>
    <row r="649" ht="14.25" customHeight="1" x14ac:dyDescent="0.25"/>
    <row r="650" ht="14.25" customHeight="1" x14ac:dyDescent="0.25"/>
    <row r="651" ht="14.25" customHeight="1" x14ac:dyDescent="0.25"/>
    <row r="652" ht="14.25" customHeight="1" x14ac:dyDescent="0.25"/>
    <row r="653" ht="14.25" customHeight="1" x14ac:dyDescent="0.25"/>
    <row r="654" ht="14.25" customHeight="1" x14ac:dyDescent="0.25"/>
    <row r="655" ht="14.25" customHeight="1" x14ac:dyDescent="0.25"/>
    <row r="656" ht="14.25" customHeight="1" x14ac:dyDescent="0.25"/>
    <row r="657" ht="14.25" customHeight="1" x14ac:dyDescent="0.25"/>
    <row r="658" ht="14.25" customHeight="1" x14ac:dyDescent="0.25"/>
    <row r="659" ht="14.25" customHeight="1" x14ac:dyDescent="0.25"/>
    <row r="660" ht="14.25" customHeight="1" x14ac:dyDescent="0.25"/>
    <row r="661" ht="14.25" customHeight="1" x14ac:dyDescent="0.25"/>
    <row r="662" ht="14.25" customHeight="1" x14ac:dyDescent="0.25"/>
    <row r="663" ht="14.25" customHeight="1" x14ac:dyDescent="0.25"/>
    <row r="664" ht="14.25" customHeight="1" x14ac:dyDescent="0.25"/>
    <row r="665" ht="14.25" customHeight="1" x14ac:dyDescent="0.25"/>
    <row r="666" ht="14.25" customHeight="1" x14ac:dyDescent="0.25"/>
    <row r="667" ht="14.25" customHeight="1" x14ac:dyDescent="0.25"/>
    <row r="668" ht="14.25" customHeight="1" x14ac:dyDescent="0.25"/>
    <row r="669" ht="14.25" customHeight="1" x14ac:dyDescent="0.25"/>
    <row r="670" ht="14.25" customHeight="1" x14ac:dyDescent="0.25"/>
    <row r="671" ht="14.25" customHeight="1" x14ac:dyDescent="0.25"/>
    <row r="672" ht="14.25" customHeight="1" x14ac:dyDescent="0.25"/>
    <row r="673" ht="14.25" customHeight="1" x14ac:dyDescent="0.25"/>
    <row r="674" ht="14.25" customHeight="1" x14ac:dyDescent="0.25"/>
    <row r="675" ht="14.25" customHeight="1" x14ac:dyDescent="0.25"/>
    <row r="676" ht="14.25" customHeight="1" x14ac:dyDescent="0.25"/>
    <row r="677" ht="14.25" customHeight="1" x14ac:dyDescent="0.25"/>
    <row r="678" ht="14.25" customHeight="1" x14ac:dyDescent="0.25"/>
    <row r="679" ht="14.25" customHeight="1" x14ac:dyDescent="0.25"/>
    <row r="680" ht="14.25" customHeight="1" x14ac:dyDescent="0.25"/>
    <row r="681" ht="14.25" customHeight="1" x14ac:dyDescent="0.25"/>
    <row r="682" ht="14.25" customHeight="1" x14ac:dyDescent="0.25"/>
    <row r="683" ht="14.25" customHeight="1" x14ac:dyDescent="0.25"/>
    <row r="684" ht="14.25" customHeight="1" x14ac:dyDescent="0.25"/>
    <row r="685" ht="14.25" customHeight="1" x14ac:dyDescent="0.25"/>
    <row r="686" ht="14.25" customHeight="1" x14ac:dyDescent="0.25"/>
    <row r="687" ht="14.25" customHeight="1" x14ac:dyDescent="0.25"/>
    <row r="688" ht="14.25" customHeight="1" x14ac:dyDescent="0.25"/>
    <row r="689" ht="14.25" customHeight="1" x14ac:dyDescent="0.25"/>
    <row r="690" ht="14.25" customHeight="1" x14ac:dyDescent="0.25"/>
    <row r="691" ht="14.25" customHeight="1" x14ac:dyDescent="0.25"/>
    <row r="692" ht="14.25" customHeight="1" x14ac:dyDescent="0.25"/>
    <row r="693" ht="14.25" customHeight="1" x14ac:dyDescent="0.25"/>
    <row r="694" ht="14.25" customHeight="1" x14ac:dyDescent="0.25"/>
    <row r="695" ht="14.25" customHeight="1" x14ac:dyDescent="0.25"/>
    <row r="696" ht="14.25" customHeight="1" x14ac:dyDescent="0.25"/>
    <row r="697" ht="14.25" customHeight="1" x14ac:dyDescent="0.25"/>
    <row r="698" ht="14.25" customHeight="1" x14ac:dyDescent="0.25"/>
    <row r="699" ht="14.25" customHeight="1" x14ac:dyDescent="0.25"/>
    <row r="700" ht="14.25" customHeight="1" x14ac:dyDescent="0.25"/>
    <row r="701" ht="14.25" customHeight="1" x14ac:dyDescent="0.25"/>
    <row r="702" ht="14.25" customHeight="1" x14ac:dyDescent="0.25"/>
    <row r="703" ht="14.25" customHeight="1" x14ac:dyDescent="0.25"/>
    <row r="704" ht="14.25" customHeight="1" x14ac:dyDescent="0.25"/>
    <row r="705" ht="14.25" customHeight="1" x14ac:dyDescent="0.25"/>
    <row r="706" ht="14.25" customHeight="1" x14ac:dyDescent="0.25"/>
    <row r="707" ht="14.25" customHeight="1" x14ac:dyDescent="0.25"/>
    <row r="708" ht="14.25" customHeight="1" x14ac:dyDescent="0.25"/>
    <row r="709" ht="14.25" customHeight="1" x14ac:dyDescent="0.25"/>
    <row r="710" ht="14.25" customHeight="1" x14ac:dyDescent="0.25"/>
    <row r="711" ht="14.25" customHeight="1" x14ac:dyDescent="0.25"/>
    <row r="712" ht="14.25" customHeight="1" x14ac:dyDescent="0.25"/>
    <row r="713" ht="14.25" customHeight="1" x14ac:dyDescent="0.25"/>
    <row r="714" ht="14.25" customHeight="1" x14ac:dyDescent="0.25"/>
    <row r="715" ht="14.25" customHeight="1" x14ac:dyDescent="0.25"/>
    <row r="716" ht="14.25" customHeight="1" x14ac:dyDescent="0.25"/>
    <row r="717" ht="14.25" customHeight="1" x14ac:dyDescent="0.25"/>
    <row r="718" ht="14.25" customHeight="1" x14ac:dyDescent="0.25"/>
    <row r="719" ht="14.25" customHeight="1" x14ac:dyDescent="0.25"/>
    <row r="720" ht="14.25" customHeight="1" x14ac:dyDescent="0.25"/>
    <row r="721" ht="14.25" customHeight="1" x14ac:dyDescent="0.25"/>
    <row r="722" ht="14.25" customHeight="1" x14ac:dyDescent="0.25"/>
    <row r="723" ht="14.25" customHeight="1" x14ac:dyDescent="0.25"/>
    <row r="724" ht="14.25" customHeight="1" x14ac:dyDescent="0.25"/>
    <row r="725" ht="14.25" customHeight="1" x14ac:dyDescent="0.25"/>
    <row r="726" ht="14.25" customHeight="1" x14ac:dyDescent="0.25"/>
    <row r="727" ht="14.25" customHeight="1" x14ac:dyDescent="0.25"/>
    <row r="728" ht="14.25" customHeight="1" x14ac:dyDescent="0.25"/>
    <row r="729" ht="14.25" customHeight="1" x14ac:dyDescent="0.25"/>
    <row r="730" ht="14.25" customHeight="1" x14ac:dyDescent="0.25"/>
    <row r="731" ht="14.25" customHeight="1" x14ac:dyDescent="0.25"/>
    <row r="732" ht="14.25" customHeight="1" x14ac:dyDescent="0.25"/>
    <row r="733" ht="14.25" customHeight="1" x14ac:dyDescent="0.25"/>
    <row r="734" ht="14.25" customHeight="1" x14ac:dyDescent="0.25"/>
    <row r="735" ht="14.25" customHeight="1" x14ac:dyDescent="0.25"/>
    <row r="736" ht="14.25" customHeight="1" x14ac:dyDescent="0.25"/>
    <row r="737" ht="14.25" customHeight="1" x14ac:dyDescent="0.25"/>
    <row r="738" ht="14.25" customHeight="1" x14ac:dyDescent="0.25"/>
    <row r="739" ht="14.25" customHeight="1" x14ac:dyDescent="0.25"/>
    <row r="740" ht="14.25" customHeight="1" x14ac:dyDescent="0.25"/>
    <row r="741" ht="14.25" customHeight="1" x14ac:dyDescent="0.25"/>
    <row r="742" ht="14.25" customHeight="1" x14ac:dyDescent="0.25"/>
    <row r="743" ht="14.25" customHeight="1" x14ac:dyDescent="0.25"/>
    <row r="744" ht="14.25" customHeight="1" x14ac:dyDescent="0.25"/>
    <row r="745" ht="14.25" customHeight="1" x14ac:dyDescent="0.25"/>
    <row r="746" ht="14.25" customHeight="1" x14ac:dyDescent="0.25"/>
    <row r="747" ht="14.25" customHeight="1" x14ac:dyDescent="0.25"/>
    <row r="748" ht="14.25" customHeight="1" x14ac:dyDescent="0.25"/>
    <row r="749" ht="14.25" customHeight="1" x14ac:dyDescent="0.25"/>
    <row r="750" ht="14.25" customHeight="1" x14ac:dyDescent="0.25"/>
    <row r="751" ht="14.25" customHeight="1" x14ac:dyDescent="0.25"/>
    <row r="752" ht="14.25" customHeight="1" x14ac:dyDescent="0.25"/>
    <row r="753" ht="14.25" customHeight="1" x14ac:dyDescent="0.25"/>
    <row r="754" ht="14.25" customHeight="1" x14ac:dyDescent="0.25"/>
    <row r="755" ht="14.25" customHeight="1" x14ac:dyDescent="0.25"/>
    <row r="756" ht="14.25" customHeight="1" x14ac:dyDescent="0.25"/>
    <row r="757" ht="14.25" customHeight="1" x14ac:dyDescent="0.25"/>
    <row r="758" ht="14.25" customHeight="1" x14ac:dyDescent="0.25"/>
    <row r="759" ht="14.25" customHeight="1" x14ac:dyDescent="0.25"/>
    <row r="760" ht="14.25" customHeight="1" x14ac:dyDescent="0.25"/>
    <row r="761" ht="14.25" customHeight="1" x14ac:dyDescent="0.25"/>
    <row r="762" ht="14.25" customHeight="1" x14ac:dyDescent="0.25"/>
    <row r="763" ht="14.25" customHeight="1" x14ac:dyDescent="0.25"/>
    <row r="764" ht="14.25" customHeight="1" x14ac:dyDescent="0.25"/>
    <row r="765" ht="14.25" customHeight="1" x14ac:dyDescent="0.25"/>
    <row r="766" ht="14.25" customHeight="1" x14ac:dyDescent="0.25"/>
    <row r="767" ht="14.25" customHeight="1" x14ac:dyDescent="0.25"/>
    <row r="768" ht="14.25" customHeight="1" x14ac:dyDescent="0.25"/>
    <row r="769" ht="14.25" customHeight="1" x14ac:dyDescent="0.25"/>
    <row r="770" ht="14.25" customHeight="1" x14ac:dyDescent="0.25"/>
    <row r="771" ht="14.25" customHeight="1" x14ac:dyDescent="0.25"/>
    <row r="772" ht="14.25" customHeight="1" x14ac:dyDescent="0.25"/>
    <row r="773" ht="14.25" customHeight="1" x14ac:dyDescent="0.25"/>
    <row r="774" ht="14.25" customHeight="1" x14ac:dyDescent="0.25"/>
    <row r="775" ht="14.25" customHeight="1" x14ac:dyDescent="0.25"/>
    <row r="776" ht="14.25" customHeight="1" x14ac:dyDescent="0.25"/>
    <row r="777" ht="14.25" customHeight="1" x14ac:dyDescent="0.25"/>
    <row r="778" ht="14.25" customHeight="1" x14ac:dyDescent="0.25"/>
    <row r="779" ht="14.25" customHeight="1" x14ac:dyDescent="0.25"/>
    <row r="780" ht="14.25" customHeight="1" x14ac:dyDescent="0.25"/>
    <row r="781" ht="14.25" customHeight="1" x14ac:dyDescent="0.25"/>
    <row r="782" ht="14.25" customHeight="1" x14ac:dyDescent="0.25"/>
    <row r="783" ht="14.25" customHeight="1" x14ac:dyDescent="0.25"/>
    <row r="784" ht="14.25" customHeight="1" x14ac:dyDescent="0.25"/>
    <row r="785" ht="14.25" customHeight="1" x14ac:dyDescent="0.25"/>
    <row r="786" ht="14.25" customHeight="1" x14ac:dyDescent="0.25"/>
    <row r="787" ht="14.25" customHeight="1" x14ac:dyDescent="0.25"/>
    <row r="788" ht="14.25" customHeight="1" x14ac:dyDescent="0.25"/>
    <row r="789" ht="14.25" customHeight="1" x14ac:dyDescent="0.25"/>
    <row r="790" ht="14.25" customHeight="1" x14ac:dyDescent="0.25"/>
    <row r="791" ht="14.25" customHeight="1" x14ac:dyDescent="0.25"/>
    <row r="792" ht="14.25" customHeight="1" x14ac:dyDescent="0.25"/>
    <row r="793" ht="14.25" customHeight="1" x14ac:dyDescent="0.25"/>
    <row r="794" ht="14.25" customHeight="1" x14ac:dyDescent="0.25"/>
    <row r="795" ht="14.25" customHeight="1" x14ac:dyDescent="0.25"/>
    <row r="796" ht="14.25" customHeight="1" x14ac:dyDescent="0.25"/>
    <row r="797" ht="14.25" customHeight="1" x14ac:dyDescent="0.25"/>
    <row r="798" ht="14.25" customHeight="1" x14ac:dyDescent="0.25"/>
    <row r="799" ht="14.25" customHeight="1" x14ac:dyDescent="0.25"/>
    <row r="800" ht="14.25" customHeight="1" x14ac:dyDescent="0.25"/>
    <row r="801" ht="14.25" customHeight="1" x14ac:dyDescent="0.25"/>
    <row r="802" ht="14.25" customHeight="1" x14ac:dyDescent="0.25"/>
    <row r="803" ht="14.25" customHeight="1" x14ac:dyDescent="0.25"/>
    <row r="804" ht="14.25" customHeight="1" x14ac:dyDescent="0.25"/>
    <row r="805" ht="14.25" customHeight="1" x14ac:dyDescent="0.25"/>
    <row r="806" ht="14.25" customHeight="1" x14ac:dyDescent="0.25"/>
    <row r="807" ht="14.25" customHeight="1" x14ac:dyDescent="0.25"/>
    <row r="808" ht="14.25" customHeight="1" x14ac:dyDescent="0.25"/>
    <row r="809" ht="14.25" customHeight="1" x14ac:dyDescent="0.25"/>
    <row r="810" ht="14.25" customHeight="1" x14ac:dyDescent="0.25"/>
    <row r="811" ht="14.25" customHeight="1" x14ac:dyDescent="0.25"/>
    <row r="812" ht="14.25" customHeight="1" x14ac:dyDescent="0.25"/>
    <row r="813" ht="14.25" customHeight="1" x14ac:dyDescent="0.25"/>
    <row r="814" ht="14.25" customHeight="1" x14ac:dyDescent="0.25"/>
    <row r="815" ht="14.25" customHeight="1" x14ac:dyDescent="0.25"/>
    <row r="816" ht="14.25" customHeight="1" x14ac:dyDescent="0.25"/>
    <row r="817" ht="14.25" customHeight="1" x14ac:dyDescent="0.25"/>
    <row r="818" ht="14.25" customHeight="1" x14ac:dyDescent="0.25"/>
    <row r="819" ht="14.25" customHeight="1" x14ac:dyDescent="0.25"/>
    <row r="820" ht="14.25" customHeight="1" x14ac:dyDescent="0.25"/>
    <row r="821" ht="14.25" customHeight="1" x14ac:dyDescent="0.25"/>
    <row r="822" ht="14.25" customHeight="1" x14ac:dyDescent="0.25"/>
    <row r="823" ht="14.25" customHeight="1" x14ac:dyDescent="0.25"/>
    <row r="824" ht="14.25" customHeight="1" x14ac:dyDescent="0.25"/>
    <row r="825" ht="14.25" customHeight="1" x14ac:dyDescent="0.25"/>
    <row r="826" ht="14.25" customHeight="1" x14ac:dyDescent="0.25"/>
    <row r="827" ht="14.25" customHeight="1" x14ac:dyDescent="0.25"/>
    <row r="828" ht="14.25" customHeight="1" x14ac:dyDescent="0.25"/>
    <row r="829" ht="14.25" customHeight="1" x14ac:dyDescent="0.25"/>
    <row r="830" ht="14.25" customHeight="1" x14ac:dyDescent="0.25"/>
    <row r="831" ht="14.25" customHeight="1" x14ac:dyDescent="0.25"/>
    <row r="832" ht="14.25" customHeight="1" x14ac:dyDescent="0.25"/>
    <row r="833" ht="14.25" customHeight="1" x14ac:dyDescent="0.25"/>
    <row r="834" ht="14.25" customHeight="1" x14ac:dyDescent="0.25"/>
    <row r="835" ht="14.25" customHeight="1" x14ac:dyDescent="0.25"/>
    <row r="836" ht="14.25" customHeight="1" x14ac:dyDescent="0.25"/>
    <row r="837" ht="14.25" customHeight="1" x14ac:dyDescent="0.25"/>
    <row r="838" ht="14.25" customHeight="1" x14ac:dyDescent="0.25"/>
    <row r="839" ht="14.25" customHeight="1" x14ac:dyDescent="0.25"/>
    <row r="840" ht="14.25" customHeight="1" x14ac:dyDescent="0.25"/>
    <row r="841" ht="14.25" customHeight="1" x14ac:dyDescent="0.25"/>
    <row r="842" ht="14.25" customHeight="1" x14ac:dyDescent="0.25"/>
    <row r="843" ht="14.25" customHeight="1" x14ac:dyDescent="0.25"/>
    <row r="844" ht="14.25" customHeight="1" x14ac:dyDescent="0.25"/>
    <row r="845" ht="14.25" customHeight="1" x14ac:dyDescent="0.25"/>
    <row r="846" ht="14.25" customHeight="1" x14ac:dyDescent="0.25"/>
    <row r="847" ht="14.25" customHeight="1" x14ac:dyDescent="0.25"/>
    <row r="848" ht="14.25" customHeight="1" x14ac:dyDescent="0.25"/>
    <row r="849" ht="14.25" customHeight="1" x14ac:dyDescent="0.25"/>
    <row r="850" ht="14.25" customHeight="1" x14ac:dyDescent="0.25"/>
    <row r="851" ht="14.25" customHeight="1" x14ac:dyDescent="0.25"/>
    <row r="852" ht="14.25" customHeight="1" x14ac:dyDescent="0.25"/>
    <row r="853" ht="14.25" customHeight="1" x14ac:dyDescent="0.25"/>
    <row r="854" ht="14.25" customHeight="1" x14ac:dyDescent="0.25"/>
    <row r="855" ht="14.25" customHeight="1" x14ac:dyDescent="0.25"/>
    <row r="856" ht="14.25" customHeight="1" x14ac:dyDescent="0.25"/>
    <row r="857" ht="14.25" customHeight="1" x14ac:dyDescent="0.25"/>
    <row r="858" ht="14.25" customHeight="1" x14ac:dyDescent="0.25"/>
    <row r="859" ht="14.25" customHeight="1" x14ac:dyDescent="0.25"/>
    <row r="860" ht="14.25" customHeight="1" x14ac:dyDescent="0.25"/>
    <row r="861" ht="14.25" customHeight="1" x14ac:dyDescent="0.25"/>
    <row r="862" ht="14.25" customHeight="1" x14ac:dyDescent="0.25"/>
    <row r="863" ht="14.25" customHeight="1" x14ac:dyDescent="0.25"/>
    <row r="864" ht="14.25" customHeight="1" x14ac:dyDescent="0.25"/>
    <row r="865" ht="14.25" customHeight="1" x14ac:dyDescent="0.25"/>
    <row r="866" ht="14.25" customHeight="1" x14ac:dyDescent="0.25"/>
    <row r="867" ht="14.25" customHeight="1" x14ac:dyDescent="0.25"/>
    <row r="868" ht="14.25" customHeight="1" x14ac:dyDescent="0.25"/>
    <row r="869" ht="14.25" customHeight="1" x14ac:dyDescent="0.25"/>
    <row r="870" ht="14.25" customHeight="1" x14ac:dyDescent="0.25"/>
    <row r="871" ht="14.25" customHeight="1" x14ac:dyDescent="0.25"/>
    <row r="872" ht="14.25" customHeight="1" x14ac:dyDescent="0.25"/>
    <row r="873" ht="14.25" customHeight="1" x14ac:dyDescent="0.25"/>
    <row r="874" ht="14.25" customHeight="1" x14ac:dyDescent="0.25"/>
    <row r="875" ht="14.25" customHeight="1" x14ac:dyDescent="0.25"/>
    <row r="876" ht="14.25" customHeight="1" x14ac:dyDescent="0.25"/>
    <row r="877" ht="14.25" customHeight="1" x14ac:dyDescent="0.25"/>
    <row r="878" ht="14.25" customHeight="1" x14ac:dyDescent="0.25"/>
    <row r="879" ht="14.25" customHeight="1" x14ac:dyDescent="0.25"/>
    <row r="880" ht="14.25" customHeight="1" x14ac:dyDescent="0.25"/>
    <row r="881" ht="14.25" customHeight="1" x14ac:dyDescent="0.25"/>
    <row r="882" ht="14.25" customHeight="1" x14ac:dyDescent="0.25"/>
    <row r="883" ht="14.25" customHeight="1" x14ac:dyDescent="0.25"/>
    <row r="884" ht="14.25" customHeight="1" x14ac:dyDescent="0.25"/>
    <row r="885" ht="14.25" customHeight="1" x14ac:dyDescent="0.25"/>
    <row r="886" ht="14.25" customHeight="1" x14ac:dyDescent="0.25"/>
    <row r="887" ht="14.25" customHeight="1" x14ac:dyDescent="0.25"/>
    <row r="888" ht="14.25" customHeight="1" x14ac:dyDescent="0.25"/>
    <row r="889" ht="14.25" customHeight="1" x14ac:dyDescent="0.25"/>
    <row r="890" ht="14.25" customHeight="1" x14ac:dyDescent="0.25"/>
    <row r="891" ht="14.25" customHeight="1" x14ac:dyDescent="0.25"/>
    <row r="892" ht="14.25" customHeight="1" x14ac:dyDescent="0.25"/>
    <row r="893" ht="14.25" customHeight="1" x14ac:dyDescent="0.25"/>
    <row r="894" ht="14.25" customHeight="1" x14ac:dyDescent="0.25"/>
    <row r="895" ht="14.25" customHeight="1" x14ac:dyDescent="0.25"/>
    <row r="896" ht="14.25" customHeight="1" x14ac:dyDescent="0.25"/>
    <row r="897" ht="14.25" customHeight="1" x14ac:dyDescent="0.25"/>
    <row r="898" ht="14.25" customHeight="1" x14ac:dyDescent="0.25"/>
    <row r="899" ht="14.25" customHeight="1" x14ac:dyDescent="0.25"/>
    <row r="900" ht="14.25" customHeight="1" x14ac:dyDescent="0.25"/>
    <row r="901" ht="14.25" customHeight="1" x14ac:dyDescent="0.25"/>
    <row r="902" ht="14.25" customHeight="1" x14ac:dyDescent="0.25"/>
    <row r="903" ht="14.25" customHeight="1" x14ac:dyDescent="0.25"/>
    <row r="904" ht="14.25" customHeight="1" x14ac:dyDescent="0.25"/>
    <row r="905" ht="14.25" customHeight="1" x14ac:dyDescent="0.25"/>
    <row r="906" ht="14.25" customHeight="1" x14ac:dyDescent="0.25"/>
    <row r="907" ht="14.25" customHeight="1" x14ac:dyDescent="0.25"/>
    <row r="908" ht="14.25" customHeight="1" x14ac:dyDescent="0.25"/>
    <row r="909" ht="14.25" customHeight="1" x14ac:dyDescent="0.25"/>
    <row r="910" ht="14.25" customHeight="1" x14ac:dyDescent="0.25"/>
    <row r="911" ht="14.25" customHeight="1" x14ac:dyDescent="0.25"/>
    <row r="912" ht="14.25" customHeight="1" x14ac:dyDescent="0.25"/>
    <row r="913" ht="14.25" customHeight="1" x14ac:dyDescent="0.25"/>
    <row r="914" ht="14.25" customHeight="1" x14ac:dyDescent="0.25"/>
    <row r="915" ht="14.25" customHeight="1" x14ac:dyDescent="0.25"/>
    <row r="916" ht="14.25" customHeight="1" x14ac:dyDescent="0.25"/>
    <row r="917" ht="14.25" customHeight="1" x14ac:dyDescent="0.25"/>
    <row r="918" ht="14.25" customHeight="1" x14ac:dyDescent="0.25"/>
    <row r="919" ht="14.25" customHeight="1" x14ac:dyDescent="0.25"/>
    <row r="920" ht="14.25" customHeight="1" x14ac:dyDescent="0.25"/>
    <row r="921" ht="14.25" customHeight="1" x14ac:dyDescent="0.25"/>
    <row r="922" ht="14.25" customHeight="1" x14ac:dyDescent="0.25"/>
    <row r="923" ht="14.25" customHeight="1" x14ac:dyDescent="0.25"/>
    <row r="924" ht="14.25" customHeight="1" x14ac:dyDescent="0.25"/>
    <row r="925" ht="14.25" customHeight="1" x14ac:dyDescent="0.25"/>
    <row r="926" ht="14.25" customHeight="1" x14ac:dyDescent="0.25"/>
    <row r="927" ht="14.25" customHeight="1" x14ac:dyDescent="0.25"/>
    <row r="928" ht="14.25" customHeight="1" x14ac:dyDescent="0.25"/>
    <row r="929" ht="14.25" customHeight="1" x14ac:dyDescent="0.25"/>
    <row r="930" ht="14.25" customHeight="1" x14ac:dyDescent="0.25"/>
    <row r="931" ht="14.25" customHeight="1" x14ac:dyDescent="0.25"/>
    <row r="932" ht="14.25" customHeight="1" x14ac:dyDescent="0.25"/>
    <row r="933" ht="14.25" customHeight="1" x14ac:dyDescent="0.25"/>
    <row r="934" ht="14.25" customHeight="1" x14ac:dyDescent="0.25"/>
    <row r="935" ht="14.25" customHeight="1" x14ac:dyDescent="0.25"/>
    <row r="936" ht="14.25" customHeight="1" x14ac:dyDescent="0.25"/>
    <row r="937" ht="14.25" customHeight="1" x14ac:dyDescent="0.25"/>
    <row r="938" ht="14.25" customHeight="1" x14ac:dyDescent="0.25"/>
    <row r="939" ht="14.25" customHeight="1" x14ac:dyDescent="0.25"/>
    <row r="940" ht="14.25" customHeight="1" x14ac:dyDescent="0.25"/>
    <row r="941" ht="14.25" customHeight="1" x14ac:dyDescent="0.25"/>
    <row r="942" ht="14.25" customHeight="1" x14ac:dyDescent="0.25"/>
    <row r="943" ht="14.25" customHeight="1" x14ac:dyDescent="0.25"/>
    <row r="944" ht="14.25" customHeight="1" x14ac:dyDescent="0.25"/>
    <row r="945" ht="14.25" customHeight="1" x14ac:dyDescent="0.25"/>
    <row r="946" ht="14.25" customHeight="1" x14ac:dyDescent="0.25"/>
    <row r="947" ht="14.25" customHeight="1" x14ac:dyDescent="0.25"/>
    <row r="948" ht="14.25" customHeight="1" x14ac:dyDescent="0.25"/>
    <row r="949" ht="14.25" customHeight="1" x14ac:dyDescent="0.25"/>
    <row r="950" ht="14.25" customHeight="1" x14ac:dyDescent="0.25"/>
    <row r="951" ht="14.25" customHeight="1" x14ac:dyDescent="0.25"/>
    <row r="952" ht="14.25" customHeight="1" x14ac:dyDescent="0.25"/>
    <row r="953" ht="14.25" customHeight="1" x14ac:dyDescent="0.25"/>
    <row r="954" ht="14.25" customHeight="1" x14ac:dyDescent="0.25"/>
    <row r="955" ht="14.25" customHeight="1" x14ac:dyDescent="0.25"/>
    <row r="956" ht="14.25" customHeight="1" x14ac:dyDescent="0.25"/>
    <row r="957" ht="14.25" customHeight="1" x14ac:dyDescent="0.25"/>
    <row r="958" ht="14.25" customHeight="1" x14ac:dyDescent="0.25"/>
    <row r="959" ht="14.25" customHeight="1" x14ac:dyDescent="0.25"/>
    <row r="960" ht="14.25" customHeight="1" x14ac:dyDescent="0.25"/>
    <row r="961" ht="14.25" customHeight="1" x14ac:dyDescent="0.25"/>
    <row r="962" ht="14.25" customHeight="1" x14ac:dyDescent="0.25"/>
    <row r="963" ht="14.25" customHeight="1" x14ac:dyDescent="0.25"/>
    <row r="964" ht="14.25" customHeight="1" x14ac:dyDescent="0.25"/>
    <row r="965" ht="14.25" customHeight="1" x14ac:dyDescent="0.25"/>
    <row r="966" ht="14.25" customHeight="1" x14ac:dyDescent="0.25"/>
    <row r="967" ht="14.25" customHeight="1" x14ac:dyDescent="0.25"/>
    <row r="968" ht="14.25" customHeight="1" x14ac:dyDescent="0.25"/>
    <row r="969" ht="14.25" customHeight="1" x14ac:dyDescent="0.25"/>
    <row r="970" ht="14.25" customHeight="1" x14ac:dyDescent="0.25"/>
    <row r="971" ht="14.25" customHeight="1" x14ac:dyDescent="0.25"/>
    <row r="972" ht="14.25" customHeight="1" x14ac:dyDescent="0.25"/>
    <row r="973" ht="14.25" customHeight="1" x14ac:dyDescent="0.25"/>
    <row r="974" ht="14.25" customHeight="1" x14ac:dyDescent="0.25"/>
    <row r="975" ht="14.25" customHeight="1" x14ac:dyDescent="0.25"/>
    <row r="976" ht="14.25" customHeight="1" x14ac:dyDescent="0.25"/>
    <row r="977" ht="14.25" customHeight="1" x14ac:dyDescent="0.25"/>
    <row r="978" ht="14.25" customHeight="1" x14ac:dyDescent="0.25"/>
    <row r="979" ht="14.25" customHeight="1" x14ac:dyDescent="0.25"/>
    <row r="980" ht="14.25" customHeight="1" x14ac:dyDescent="0.25"/>
    <row r="981" ht="14.25" customHeight="1" x14ac:dyDescent="0.25"/>
    <row r="982" ht="14.25" customHeight="1" x14ac:dyDescent="0.25"/>
    <row r="983" ht="14.25" customHeight="1" x14ac:dyDescent="0.25"/>
    <row r="984" ht="14.25" customHeight="1" x14ac:dyDescent="0.25"/>
    <row r="985" ht="14.25" customHeight="1" x14ac:dyDescent="0.25"/>
    <row r="986" ht="14.25" customHeight="1" x14ac:dyDescent="0.25"/>
    <row r="987" ht="14.25" customHeight="1" x14ac:dyDescent="0.25"/>
    <row r="988" ht="14.25" customHeight="1" x14ac:dyDescent="0.25"/>
    <row r="989" ht="14.25" customHeight="1" x14ac:dyDescent="0.25"/>
    <row r="990" ht="14.25" customHeight="1" x14ac:dyDescent="0.25"/>
    <row r="991" ht="14.25" customHeight="1" x14ac:dyDescent="0.25"/>
    <row r="992" ht="14.25" customHeight="1" x14ac:dyDescent="0.25"/>
    <row r="993" ht="14.25" customHeight="1" x14ac:dyDescent="0.25"/>
    <row r="994" ht="14.25" customHeight="1" x14ac:dyDescent="0.25"/>
    <row r="995" ht="14.25" customHeight="1" x14ac:dyDescent="0.25"/>
    <row r="996" ht="14.25" customHeight="1" x14ac:dyDescent="0.25"/>
    <row r="997" ht="14.25" customHeight="1" x14ac:dyDescent="0.25"/>
    <row r="998" ht="14.25" customHeight="1" x14ac:dyDescent="0.25"/>
    <row r="999" ht="14.25" customHeight="1" x14ac:dyDescent="0.25"/>
    <row r="1000" ht="14.25" customHeight="1" x14ac:dyDescent="0.25"/>
    <row r="1001" ht="14.25" customHeight="1" x14ac:dyDescent="0.25"/>
    <row r="1002" ht="14.25" customHeight="1" x14ac:dyDescent="0.25"/>
    <row r="1003" ht="14.25" customHeight="1" x14ac:dyDescent="0.25"/>
    <row r="1004" ht="14.25" customHeight="1" x14ac:dyDescent="0.25"/>
    <row r="1005" ht="14.25" customHeight="1" x14ac:dyDescent="0.25"/>
    <row r="1006" ht="14.25" customHeight="1" x14ac:dyDescent="0.25"/>
    <row r="1007" ht="14.25" customHeight="1" x14ac:dyDescent="0.25"/>
    <row r="1008" ht="14.25" customHeight="1" x14ac:dyDescent="0.25"/>
    <row r="1009" ht="14.25" customHeight="1" x14ac:dyDescent="0.25"/>
    <row r="1010" ht="14.25" customHeight="1" x14ac:dyDescent="0.25"/>
    <row r="1011" ht="14.25" customHeight="1" x14ac:dyDescent="0.25"/>
    <row r="1012" ht="14.25" customHeight="1" x14ac:dyDescent="0.25"/>
    <row r="1013" ht="14.25" customHeight="1" x14ac:dyDescent="0.25"/>
    <row r="1014" ht="14.25" customHeight="1" x14ac:dyDescent="0.25"/>
  </sheetData>
  <autoFilter ref="A1:E101" xr:uid="{00000000-0001-0000-0400-000000000000}">
    <sortState xmlns:xlrd2="http://schemas.microsoft.com/office/spreadsheetml/2017/richdata2" ref="A2:E101">
      <sortCondition descending="1" ref="A1:A101"/>
    </sortState>
  </autoFilter>
  <pageMargins left="0.7" right="0.7" top="0.75" bottom="0.75" header="0" footer="0"/>
  <pageSetup orientation="landscape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7"/>
  <dimension ref="A1:A1000"/>
  <sheetViews>
    <sheetView workbookViewId="0"/>
  </sheetViews>
  <sheetFormatPr defaultColWidth="14.42578125" defaultRowHeight="15" customHeight="1" x14ac:dyDescent="0.25"/>
  <cols>
    <col min="1" max="26" width="8.7109375" customWidth="1"/>
  </cols>
  <sheetData>
    <row r="1" ht="14.25" customHeight="1" x14ac:dyDescent="0.25"/>
    <row r="2" ht="14.25" customHeight="1" x14ac:dyDescent="0.25"/>
    <row r="3" ht="14.25" customHeight="1" x14ac:dyDescent="0.25"/>
    <row r="4" ht="14.25" customHeight="1" x14ac:dyDescent="0.25"/>
    <row r="5" ht="14.25" customHeight="1" x14ac:dyDescent="0.25"/>
    <row r="6" ht="14.25" customHeight="1" x14ac:dyDescent="0.25"/>
    <row r="7" ht="14.25" customHeight="1" x14ac:dyDescent="0.25"/>
    <row r="8" ht="14.25" customHeight="1" x14ac:dyDescent="0.25"/>
    <row r="9" ht="14.25" customHeight="1" x14ac:dyDescent="0.25"/>
    <row r="10" ht="14.25" customHeight="1" x14ac:dyDescent="0.25"/>
    <row r="11" ht="14.25" customHeight="1" x14ac:dyDescent="0.25"/>
    <row r="12" ht="14.25" customHeight="1" x14ac:dyDescent="0.25"/>
    <row r="13" ht="14.25" customHeight="1" x14ac:dyDescent="0.25"/>
    <row r="14" ht="14.25" customHeight="1" x14ac:dyDescent="0.25"/>
    <row r="15" ht="14.25" customHeight="1" x14ac:dyDescent="0.25"/>
    <row r="16" ht="14.25" customHeight="1" x14ac:dyDescent="0.25"/>
    <row r="17" ht="14.25" customHeight="1" x14ac:dyDescent="0.25"/>
    <row r="18" ht="14.25" customHeight="1" x14ac:dyDescent="0.25"/>
    <row r="19" ht="14.25" customHeight="1" x14ac:dyDescent="0.25"/>
    <row r="20" ht="14.25" customHeight="1" x14ac:dyDescent="0.25"/>
    <row r="21" ht="14.25" customHeight="1" x14ac:dyDescent="0.25"/>
    <row r="22" ht="14.25" customHeight="1" x14ac:dyDescent="0.25"/>
    <row r="23" ht="14.25" customHeight="1" x14ac:dyDescent="0.25"/>
    <row r="24" ht="14.25" customHeight="1" x14ac:dyDescent="0.25"/>
    <row r="25" ht="14.25" customHeight="1" x14ac:dyDescent="0.25"/>
    <row r="26" ht="14.25" customHeight="1" x14ac:dyDescent="0.25"/>
    <row r="27" ht="14.25" customHeight="1" x14ac:dyDescent="0.25"/>
    <row r="28" ht="14.25" customHeight="1" x14ac:dyDescent="0.25"/>
    <row r="29" ht="14.25" customHeight="1" x14ac:dyDescent="0.25"/>
    <row r="30" ht="14.25" customHeight="1" x14ac:dyDescent="0.25"/>
    <row r="31" ht="14.25" customHeight="1" x14ac:dyDescent="0.25"/>
    <row r="32" ht="14.25" customHeight="1" x14ac:dyDescent="0.25"/>
    <row r="33" ht="14.25" customHeight="1" x14ac:dyDescent="0.25"/>
    <row r="34" ht="14.25" customHeight="1" x14ac:dyDescent="0.25"/>
    <row r="35" ht="14.25" customHeight="1" x14ac:dyDescent="0.25"/>
    <row r="36" ht="14.25" customHeight="1" x14ac:dyDescent="0.25"/>
    <row r="37" ht="14.25" customHeight="1" x14ac:dyDescent="0.25"/>
    <row r="38" ht="14.25" customHeight="1" x14ac:dyDescent="0.25"/>
    <row r="39" ht="14.25" customHeight="1" x14ac:dyDescent="0.25"/>
    <row r="40" ht="14.25" customHeight="1" x14ac:dyDescent="0.25"/>
    <row r="41" ht="14.25" customHeight="1" x14ac:dyDescent="0.25"/>
    <row r="42" ht="14.25" customHeight="1" x14ac:dyDescent="0.25"/>
    <row r="43" ht="14.25" customHeight="1" x14ac:dyDescent="0.25"/>
    <row r="44" ht="14.25" customHeight="1" x14ac:dyDescent="0.25"/>
    <row r="45" ht="14.25" customHeight="1" x14ac:dyDescent="0.25"/>
    <row r="46" ht="14.25" customHeight="1" x14ac:dyDescent="0.25"/>
    <row r="47" ht="14.25" customHeight="1" x14ac:dyDescent="0.25"/>
    <row r="48" ht="14.25" customHeight="1" x14ac:dyDescent="0.25"/>
    <row r="49" ht="14.25" customHeight="1" x14ac:dyDescent="0.25"/>
    <row r="50" ht="14.25" customHeight="1" x14ac:dyDescent="0.25"/>
    <row r="51" ht="14.25" customHeight="1" x14ac:dyDescent="0.25"/>
    <row r="52" ht="14.25" customHeight="1" x14ac:dyDescent="0.25"/>
    <row r="53" ht="14.25" customHeight="1" x14ac:dyDescent="0.25"/>
    <row r="54" ht="14.25" customHeight="1" x14ac:dyDescent="0.25"/>
    <row r="55" ht="14.25" customHeight="1" x14ac:dyDescent="0.25"/>
    <row r="56" ht="14.25" customHeight="1" x14ac:dyDescent="0.25"/>
    <row r="57" ht="14.25" customHeight="1" x14ac:dyDescent="0.25"/>
    <row r="58" ht="14.25" customHeight="1" x14ac:dyDescent="0.25"/>
    <row r="59" ht="14.25" customHeight="1" x14ac:dyDescent="0.25"/>
    <row r="60" ht="14.25" customHeight="1" x14ac:dyDescent="0.25"/>
    <row r="61" ht="14.25" customHeight="1" x14ac:dyDescent="0.25"/>
    <row r="62" ht="14.25" customHeight="1" x14ac:dyDescent="0.25"/>
    <row r="63" ht="14.25" customHeight="1" x14ac:dyDescent="0.25"/>
    <row r="64" ht="14.25" customHeight="1" x14ac:dyDescent="0.25"/>
    <row r="65" ht="14.25" customHeight="1" x14ac:dyDescent="0.25"/>
    <row r="66" ht="14.25" customHeight="1" x14ac:dyDescent="0.25"/>
    <row r="67" ht="14.25" customHeight="1" x14ac:dyDescent="0.25"/>
    <row r="68" ht="14.25" customHeight="1" x14ac:dyDescent="0.25"/>
    <row r="69" ht="14.25" customHeight="1" x14ac:dyDescent="0.25"/>
    <row r="70" ht="14.25" customHeight="1" x14ac:dyDescent="0.25"/>
    <row r="71" ht="14.25" customHeight="1" x14ac:dyDescent="0.25"/>
    <row r="72" ht="14.25" customHeight="1" x14ac:dyDescent="0.25"/>
    <row r="73" ht="14.25" customHeight="1" x14ac:dyDescent="0.25"/>
    <row r="74" ht="14.25" customHeight="1" x14ac:dyDescent="0.25"/>
    <row r="75" ht="14.25" customHeight="1" x14ac:dyDescent="0.25"/>
    <row r="76" ht="14.25" customHeight="1" x14ac:dyDescent="0.25"/>
    <row r="77" ht="14.25" customHeight="1" x14ac:dyDescent="0.25"/>
    <row r="78" ht="14.25" customHeight="1" x14ac:dyDescent="0.25"/>
    <row r="79" ht="14.25" customHeight="1" x14ac:dyDescent="0.25"/>
    <row r="80" ht="14.25" customHeight="1" x14ac:dyDescent="0.25"/>
    <row r="81" ht="14.25" customHeight="1" x14ac:dyDescent="0.25"/>
    <row r="82" ht="14.25" customHeight="1" x14ac:dyDescent="0.25"/>
    <row r="83" ht="14.25" customHeight="1" x14ac:dyDescent="0.25"/>
    <row r="84" ht="14.25" customHeight="1" x14ac:dyDescent="0.25"/>
    <row r="85" ht="14.25" customHeight="1" x14ac:dyDescent="0.25"/>
    <row r="86" ht="14.25" customHeight="1" x14ac:dyDescent="0.25"/>
    <row r="87" ht="14.25" customHeight="1" x14ac:dyDescent="0.25"/>
    <row r="88" ht="14.25" customHeight="1" x14ac:dyDescent="0.25"/>
    <row r="89" ht="14.25" customHeight="1" x14ac:dyDescent="0.25"/>
    <row r="90" ht="14.25" customHeight="1" x14ac:dyDescent="0.25"/>
    <row r="91" ht="14.25" customHeight="1" x14ac:dyDescent="0.25"/>
    <row r="92" ht="14.25" customHeight="1" x14ac:dyDescent="0.25"/>
    <row r="93" ht="14.25" customHeight="1" x14ac:dyDescent="0.25"/>
    <row r="94" ht="14.25" customHeight="1" x14ac:dyDescent="0.25"/>
    <row r="95" ht="14.25" customHeight="1" x14ac:dyDescent="0.25"/>
    <row r="96" ht="14.25" customHeight="1" x14ac:dyDescent="0.25"/>
    <row r="97" ht="14.25" customHeight="1" x14ac:dyDescent="0.25"/>
    <row r="98" ht="14.25" customHeight="1" x14ac:dyDescent="0.25"/>
    <row r="99" ht="14.25" customHeight="1" x14ac:dyDescent="0.25"/>
    <row r="100" ht="14.25" customHeight="1" x14ac:dyDescent="0.25"/>
    <row r="101" ht="14.25" customHeight="1" x14ac:dyDescent="0.25"/>
    <row r="102" ht="14.25" customHeight="1" x14ac:dyDescent="0.25"/>
    <row r="103" ht="14.25" customHeight="1" x14ac:dyDescent="0.25"/>
    <row r="104" ht="14.25" customHeight="1" x14ac:dyDescent="0.25"/>
    <row r="105" ht="14.25" customHeight="1" x14ac:dyDescent="0.25"/>
    <row r="106" ht="14.25" customHeight="1" x14ac:dyDescent="0.25"/>
    <row r="107" ht="14.25" customHeight="1" x14ac:dyDescent="0.25"/>
    <row r="108" ht="14.25" customHeight="1" x14ac:dyDescent="0.25"/>
    <row r="109" ht="14.25" customHeight="1" x14ac:dyDescent="0.25"/>
    <row r="110" ht="14.25" customHeight="1" x14ac:dyDescent="0.25"/>
    <row r="111" ht="14.25" customHeight="1" x14ac:dyDescent="0.25"/>
    <row r="112" ht="14.25" customHeight="1" x14ac:dyDescent="0.25"/>
    <row r="113" ht="14.25" customHeight="1" x14ac:dyDescent="0.25"/>
    <row r="114" ht="14.25" customHeight="1" x14ac:dyDescent="0.25"/>
    <row r="115" ht="14.25" customHeight="1" x14ac:dyDescent="0.25"/>
    <row r="116" ht="14.25" customHeight="1" x14ac:dyDescent="0.25"/>
    <row r="117" ht="14.25" customHeight="1" x14ac:dyDescent="0.25"/>
    <row r="118" ht="14.25" customHeight="1" x14ac:dyDescent="0.25"/>
    <row r="119" ht="14.25" customHeight="1" x14ac:dyDescent="0.25"/>
    <row r="120" ht="14.25" customHeight="1" x14ac:dyDescent="0.25"/>
    <row r="121" ht="14.25" customHeight="1" x14ac:dyDescent="0.25"/>
    <row r="122" ht="14.25" customHeight="1" x14ac:dyDescent="0.25"/>
    <row r="123" ht="14.25" customHeight="1" x14ac:dyDescent="0.25"/>
    <row r="124" ht="14.25" customHeight="1" x14ac:dyDescent="0.25"/>
    <row r="125" ht="14.25" customHeight="1" x14ac:dyDescent="0.25"/>
    <row r="126" ht="14.25" customHeight="1" x14ac:dyDescent="0.25"/>
    <row r="127" ht="14.25" customHeight="1" x14ac:dyDescent="0.25"/>
    <row r="128" ht="14.25" customHeight="1" x14ac:dyDescent="0.25"/>
    <row r="129" ht="14.25" customHeight="1" x14ac:dyDescent="0.25"/>
    <row r="130" ht="14.25" customHeight="1" x14ac:dyDescent="0.25"/>
    <row r="131" ht="14.25" customHeight="1" x14ac:dyDescent="0.25"/>
    <row r="132" ht="14.25" customHeight="1" x14ac:dyDescent="0.25"/>
    <row r="133" ht="14.25" customHeight="1" x14ac:dyDescent="0.25"/>
    <row r="134" ht="14.25" customHeight="1" x14ac:dyDescent="0.25"/>
    <row r="135" ht="14.25" customHeight="1" x14ac:dyDescent="0.25"/>
    <row r="136" ht="14.25" customHeight="1" x14ac:dyDescent="0.25"/>
    <row r="137" ht="14.25" customHeight="1" x14ac:dyDescent="0.25"/>
    <row r="138" ht="14.25" customHeight="1" x14ac:dyDescent="0.25"/>
    <row r="139" ht="14.25" customHeight="1" x14ac:dyDescent="0.25"/>
    <row r="140" ht="14.25" customHeight="1" x14ac:dyDescent="0.25"/>
    <row r="141" ht="14.25" customHeight="1" x14ac:dyDescent="0.25"/>
    <row r="142" ht="14.25" customHeight="1" x14ac:dyDescent="0.25"/>
    <row r="143" ht="14.25" customHeight="1" x14ac:dyDescent="0.25"/>
    <row r="144" ht="14.25" customHeight="1" x14ac:dyDescent="0.25"/>
    <row r="145" ht="14.25" customHeight="1" x14ac:dyDescent="0.25"/>
    <row r="146" ht="14.25" customHeight="1" x14ac:dyDescent="0.25"/>
    <row r="147" ht="14.25" customHeight="1" x14ac:dyDescent="0.25"/>
    <row r="148" ht="14.25" customHeight="1" x14ac:dyDescent="0.25"/>
    <row r="149" ht="14.25" customHeight="1" x14ac:dyDescent="0.25"/>
    <row r="150" ht="14.25" customHeight="1" x14ac:dyDescent="0.25"/>
    <row r="151" ht="14.25" customHeight="1" x14ac:dyDescent="0.25"/>
    <row r="152" ht="14.25" customHeight="1" x14ac:dyDescent="0.25"/>
    <row r="153" ht="14.25" customHeight="1" x14ac:dyDescent="0.25"/>
    <row r="154" ht="14.25" customHeight="1" x14ac:dyDescent="0.25"/>
    <row r="155" ht="14.25" customHeight="1" x14ac:dyDescent="0.25"/>
    <row r="156" ht="14.25" customHeight="1" x14ac:dyDescent="0.25"/>
    <row r="157" ht="14.25" customHeight="1" x14ac:dyDescent="0.25"/>
    <row r="158" ht="14.25" customHeight="1" x14ac:dyDescent="0.25"/>
    <row r="159" ht="14.25" customHeight="1" x14ac:dyDescent="0.25"/>
    <row r="160" ht="14.25" customHeight="1" x14ac:dyDescent="0.25"/>
    <row r="161" ht="14.25" customHeight="1" x14ac:dyDescent="0.25"/>
    <row r="162" ht="14.25" customHeight="1" x14ac:dyDescent="0.25"/>
    <row r="163" ht="14.25" customHeight="1" x14ac:dyDescent="0.25"/>
    <row r="164" ht="14.25" customHeight="1" x14ac:dyDescent="0.25"/>
    <row r="165" ht="14.25" customHeight="1" x14ac:dyDescent="0.25"/>
    <row r="166" ht="14.25" customHeight="1" x14ac:dyDescent="0.25"/>
    <row r="167" ht="14.25" customHeight="1" x14ac:dyDescent="0.25"/>
    <row r="168" ht="14.25" customHeight="1" x14ac:dyDescent="0.25"/>
    <row r="169" ht="14.25" customHeight="1" x14ac:dyDescent="0.25"/>
    <row r="170" ht="14.25" customHeight="1" x14ac:dyDescent="0.25"/>
    <row r="171" ht="14.25" customHeight="1" x14ac:dyDescent="0.25"/>
    <row r="172" ht="14.25" customHeight="1" x14ac:dyDescent="0.25"/>
    <row r="173" ht="14.25" customHeight="1" x14ac:dyDescent="0.25"/>
    <row r="174" ht="14.25" customHeight="1" x14ac:dyDescent="0.25"/>
    <row r="175" ht="14.25" customHeight="1" x14ac:dyDescent="0.25"/>
    <row r="176" ht="14.25" customHeight="1" x14ac:dyDescent="0.25"/>
    <row r="177" ht="14.25" customHeight="1" x14ac:dyDescent="0.25"/>
    <row r="178" ht="14.25" customHeight="1" x14ac:dyDescent="0.25"/>
    <row r="179" ht="14.25" customHeight="1" x14ac:dyDescent="0.25"/>
    <row r="180" ht="14.25" customHeight="1" x14ac:dyDescent="0.25"/>
    <row r="181" ht="14.25" customHeight="1" x14ac:dyDescent="0.25"/>
    <row r="182" ht="14.25" customHeight="1" x14ac:dyDescent="0.25"/>
    <row r="183" ht="14.25" customHeight="1" x14ac:dyDescent="0.25"/>
    <row r="184" ht="14.25" customHeight="1" x14ac:dyDescent="0.25"/>
    <row r="185" ht="14.25" customHeight="1" x14ac:dyDescent="0.25"/>
    <row r="186" ht="14.25" customHeight="1" x14ac:dyDescent="0.25"/>
    <row r="187" ht="14.25" customHeight="1" x14ac:dyDescent="0.25"/>
    <row r="188" ht="14.25" customHeight="1" x14ac:dyDescent="0.25"/>
    <row r="189" ht="14.25" customHeight="1" x14ac:dyDescent="0.25"/>
    <row r="190" ht="14.25" customHeight="1" x14ac:dyDescent="0.25"/>
    <row r="191" ht="14.25" customHeight="1" x14ac:dyDescent="0.25"/>
    <row r="192" ht="14.25" customHeight="1" x14ac:dyDescent="0.25"/>
    <row r="193" ht="14.25" customHeight="1" x14ac:dyDescent="0.25"/>
    <row r="194" ht="14.25" customHeight="1" x14ac:dyDescent="0.25"/>
    <row r="195" ht="14.25" customHeight="1" x14ac:dyDescent="0.25"/>
    <row r="196" ht="14.25" customHeight="1" x14ac:dyDescent="0.25"/>
    <row r="197" ht="14.25" customHeight="1" x14ac:dyDescent="0.25"/>
    <row r="198" ht="14.25" customHeight="1" x14ac:dyDescent="0.25"/>
    <row r="199" ht="14.25" customHeight="1" x14ac:dyDescent="0.25"/>
    <row r="200" ht="14.25" customHeight="1" x14ac:dyDescent="0.25"/>
    <row r="201" ht="14.25" customHeight="1" x14ac:dyDescent="0.25"/>
    <row r="202" ht="14.25" customHeight="1" x14ac:dyDescent="0.25"/>
    <row r="203" ht="14.25" customHeight="1" x14ac:dyDescent="0.25"/>
    <row r="204" ht="14.25" customHeight="1" x14ac:dyDescent="0.25"/>
    <row r="205" ht="14.25" customHeight="1" x14ac:dyDescent="0.25"/>
    <row r="206" ht="14.25" customHeight="1" x14ac:dyDescent="0.25"/>
    <row r="207" ht="14.25" customHeight="1" x14ac:dyDescent="0.25"/>
    <row r="208" ht="14.25" customHeight="1" x14ac:dyDescent="0.25"/>
    <row r="209" ht="14.25" customHeight="1" x14ac:dyDescent="0.25"/>
    <row r="210" ht="14.25" customHeight="1" x14ac:dyDescent="0.25"/>
    <row r="211" ht="14.25" customHeight="1" x14ac:dyDescent="0.25"/>
    <row r="212" ht="14.25" customHeight="1" x14ac:dyDescent="0.25"/>
    <row r="213" ht="14.25" customHeight="1" x14ac:dyDescent="0.25"/>
    <row r="214" ht="14.25" customHeight="1" x14ac:dyDescent="0.25"/>
    <row r="215" ht="14.25" customHeight="1" x14ac:dyDescent="0.25"/>
    <row r="216" ht="14.25" customHeight="1" x14ac:dyDescent="0.25"/>
    <row r="217" ht="14.25" customHeight="1" x14ac:dyDescent="0.25"/>
    <row r="218" ht="14.25" customHeight="1" x14ac:dyDescent="0.25"/>
    <row r="219" ht="14.25" customHeight="1" x14ac:dyDescent="0.25"/>
    <row r="220" ht="14.25" customHeight="1" x14ac:dyDescent="0.25"/>
    <row r="221" ht="14.25" customHeight="1" x14ac:dyDescent="0.25"/>
    <row r="222" ht="14.25" customHeight="1" x14ac:dyDescent="0.25"/>
    <row r="223" ht="14.25" customHeight="1" x14ac:dyDescent="0.25"/>
    <row r="224" ht="14.25" customHeight="1" x14ac:dyDescent="0.25"/>
    <row r="225" ht="14.25" customHeight="1" x14ac:dyDescent="0.25"/>
    <row r="226" ht="14.25" customHeight="1" x14ac:dyDescent="0.25"/>
    <row r="227" ht="14.25" customHeight="1" x14ac:dyDescent="0.25"/>
    <row r="228" ht="14.25" customHeight="1" x14ac:dyDescent="0.25"/>
    <row r="229" ht="14.25" customHeight="1" x14ac:dyDescent="0.25"/>
    <row r="230" ht="14.25" customHeight="1" x14ac:dyDescent="0.25"/>
    <row r="231" ht="14.25" customHeight="1" x14ac:dyDescent="0.25"/>
    <row r="232" ht="14.25" customHeight="1" x14ac:dyDescent="0.25"/>
    <row r="233" ht="14.25" customHeight="1" x14ac:dyDescent="0.25"/>
    <row r="234" ht="14.25" customHeight="1" x14ac:dyDescent="0.25"/>
    <row r="235" ht="14.25" customHeight="1" x14ac:dyDescent="0.25"/>
    <row r="236" ht="14.25" customHeight="1" x14ac:dyDescent="0.25"/>
    <row r="237" ht="14.25" customHeight="1" x14ac:dyDescent="0.25"/>
    <row r="238" ht="14.25" customHeight="1" x14ac:dyDescent="0.25"/>
    <row r="239" ht="14.25" customHeight="1" x14ac:dyDescent="0.25"/>
    <row r="240" ht="14.25" customHeight="1" x14ac:dyDescent="0.25"/>
    <row r="241" ht="14.25" customHeight="1" x14ac:dyDescent="0.25"/>
    <row r="242" ht="14.25" customHeight="1" x14ac:dyDescent="0.25"/>
    <row r="243" ht="14.25" customHeight="1" x14ac:dyDescent="0.25"/>
    <row r="244" ht="14.25" customHeight="1" x14ac:dyDescent="0.25"/>
    <row r="245" ht="14.25" customHeight="1" x14ac:dyDescent="0.25"/>
    <row r="246" ht="14.25" customHeight="1" x14ac:dyDescent="0.25"/>
    <row r="247" ht="14.25" customHeight="1" x14ac:dyDescent="0.25"/>
    <row r="248" ht="14.25" customHeight="1" x14ac:dyDescent="0.25"/>
    <row r="249" ht="14.25" customHeight="1" x14ac:dyDescent="0.25"/>
    <row r="250" ht="14.25" customHeight="1" x14ac:dyDescent="0.25"/>
    <row r="251" ht="14.25" customHeight="1" x14ac:dyDescent="0.25"/>
    <row r="252" ht="14.25" customHeight="1" x14ac:dyDescent="0.25"/>
    <row r="253" ht="14.25" customHeight="1" x14ac:dyDescent="0.25"/>
    <row r="254" ht="14.25" customHeight="1" x14ac:dyDescent="0.25"/>
    <row r="255" ht="14.25" customHeight="1" x14ac:dyDescent="0.25"/>
    <row r="256" ht="14.25" customHeight="1" x14ac:dyDescent="0.25"/>
    <row r="257" ht="14.25" customHeight="1" x14ac:dyDescent="0.25"/>
    <row r="258" ht="14.25" customHeight="1" x14ac:dyDescent="0.25"/>
    <row r="259" ht="14.25" customHeight="1" x14ac:dyDescent="0.25"/>
    <row r="260" ht="14.25" customHeight="1" x14ac:dyDescent="0.25"/>
    <row r="261" ht="14.25" customHeight="1" x14ac:dyDescent="0.25"/>
    <row r="262" ht="14.25" customHeight="1" x14ac:dyDescent="0.25"/>
    <row r="263" ht="14.25" customHeight="1" x14ac:dyDescent="0.25"/>
    <row r="264" ht="14.25" customHeight="1" x14ac:dyDescent="0.25"/>
    <row r="265" ht="14.25" customHeight="1" x14ac:dyDescent="0.25"/>
    <row r="266" ht="14.25" customHeight="1" x14ac:dyDescent="0.25"/>
    <row r="267" ht="14.25" customHeight="1" x14ac:dyDescent="0.25"/>
    <row r="268" ht="14.25" customHeight="1" x14ac:dyDescent="0.25"/>
    <row r="269" ht="14.25" customHeight="1" x14ac:dyDescent="0.25"/>
    <row r="270" ht="14.25" customHeight="1" x14ac:dyDescent="0.25"/>
    <row r="271" ht="14.25" customHeight="1" x14ac:dyDescent="0.25"/>
    <row r="272" ht="14.25" customHeight="1" x14ac:dyDescent="0.25"/>
    <row r="273" ht="14.25" customHeight="1" x14ac:dyDescent="0.25"/>
    <row r="274" ht="14.25" customHeight="1" x14ac:dyDescent="0.25"/>
    <row r="275" ht="14.25" customHeight="1" x14ac:dyDescent="0.25"/>
    <row r="276" ht="14.25" customHeight="1" x14ac:dyDescent="0.25"/>
    <row r="277" ht="14.25" customHeight="1" x14ac:dyDescent="0.25"/>
    <row r="278" ht="14.25" customHeight="1" x14ac:dyDescent="0.25"/>
    <row r="279" ht="14.25" customHeight="1" x14ac:dyDescent="0.25"/>
    <row r="280" ht="14.25" customHeight="1" x14ac:dyDescent="0.25"/>
    <row r="281" ht="14.25" customHeight="1" x14ac:dyDescent="0.25"/>
    <row r="282" ht="14.25" customHeight="1" x14ac:dyDescent="0.25"/>
    <row r="283" ht="14.25" customHeight="1" x14ac:dyDescent="0.25"/>
    <row r="284" ht="14.25" customHeight="1" x14ac:dyDescent="0.25"/>
    <row r="285" ht="14.25" customHeight="1" x14ac:dyDescent="0.25"/>
    <row r="286" ht="14.25" customHeight="1" x14ac:dyDescent="0.25"/>
    <row r="287" ht="14.25" customHeight="1" x14ac:dyDescent="0.25"/>
    <row r="288" ht="14.25" customHeight="1" x14ac:dyDescent="0.25"/>
    <row r="289" ht="14.25" customHeight="1" x14ac:dyDescent="0.25"/>
    <row r="290" ht="14.25" customHeight="1" x14ac:dyDescent="0.25"/>
    <row r="291" ht="14.25" customHeight="1" x14ac:dyDescent="0.25"/>
    <row r="292" ht="14.25" customHeight="1" x14ac:dyDescent="0.25"/>
    <row r="293" ht="14.25" customHeight="1" x14ac:dyDescent="0.25"/>
    <row r="294" ht="14.25" customHeight="1" x14ac:dyDescent="0.25"/>
    <row r="295" ht="14.25" customHeight="1" x14ac:dyDescent="0.25"/>
    <row r="296" ht="14.25" customHeight="1" x14ac:dyDescent="0.25"/>
    <row r="297" ht="14.25" customHeight="1" x14ac:dyDescent="0.25"/>
    <row r="298" ht="14.25" customHeight="1" x14ac:dyDescent="0.25"/>
    <row r="299" ht="14.25" customHeight="1" x14ac:dyDescent="0.25"/>
    <row r="300" ht="14.25" customHeight="1" x14ac:dyDescent="0.25"/>
    <row r="301" ht="14.25" customHeight="1" x14ac:dyDescent="0.25"/>
    <row r="302" ht="14.25" customHeight="1" x14ac:dyDescent="0.25"/>
    <row r="303" ht="14.25" customHeight="1" x14ac:dyDescent="0.25"/>
    <row r="304" ht="14.25" customHeight="1" x14ac:dyDescent="0.25"/>
    <row r="305" ht="14.25" customHeight="1" x14ac:dyDescent="0.25"/>
    <row r="306" ht="14.25" customHeight="1" x14ac:dyDescent="0.25"/>
    <row r="307" ht="14.25" customHeight="1" x14ac:dyDescent="0.25"/>
    <row r="308" ht="14.25" customHeight="1" x14ac:dyDescent="0.25"/>
    <row r="309" ht="14.25" customHeight="1" x14ac:dyDescent="0.25"/>
    <row r="310" ht="14.25" customHeight="1" x14ac:dyDescent="0.25"/>
    <row r="311" ht="14.25" customHeight="1" x14ac:dyDescent="0.25"/>
    <row r="312" ht="14.25" customHeight="1" x14ac:dyDescent="0.25"/>
    <row r="313" ht="14.25" customHeight="1" x14ac:dyDescent="0.25"/>
    <row r="314" ht="14.25" customHeight="1" x14ac:dyDescent="0.25"/>
    <row r="315" ht="14.25" customHeight="1" x14ac:dyDescent="0.25"/>
    <row r="316" ht="14.25" customHeight="1" x14ac:dyDescent="0.25"/>
    <row r="317" ht="14.25" customHeight="1" x14ac:dyDescent="0.25"/>
    <row r="318" ht="14.25" customHeight="1" x14ac:dyDescent="0.25"/>
    <row r="319" ht="14.25" customHeight="1" x14ac:dyDescent="0.25"/>
    <row r="320" ht="14.25" customHeight="1" x14ac:dyDescent="0.25"/>
    <row r="321" ht="14.25" customHeight="1" x14ac:dyDescent="0.25"/>
    <row r="322" ht="14.25" customHeight="1" x14ac:dyDescent="0.25"/>
    <row r="323" ht="14.25" customHeight="1" x14ac:dyDescent="0.25"/>
    <row r="324" ht="14.25" customHeight="1" x14ac:dyDescent="0.25"/>
    <row r="325" ht="14.25" customHeight="1" x14ac:dyDescent="0.25"/>
    <row r="326" ht="14.25" customHeight="1" x14ac:dyDescent="0.25"/>
    <row r="327" ht="14.25" customHeight="1" x14ac:dyDescent="0.25"/>
    <row r="328" ht="14.25" customHeight="1" x14ac:dyDescent="0.25"/>
    <row r="329" ht="14.25" customHeight="1" x14ac:dyDescent="0.25"/>
    <row r="330" ht="14.25" customHeight="1" x14ac:dyDescent="0.25"/>
    <row r="331" ht="14.25" customHeight="1" x14ac:dyDescent="0.25"/>
    <row r="332" ht="14.25" customHeight="1" x14ac:dyDescent="0.25"/>
    <row r="333" ht="14.25" customHeight="1" x14ac:dyDescent="0.25"/>
    <row r="334" ht="14.25" customHeight="1" x14ac:dyDescent="0.25"/>
    <row r="335" ht="14.25" customHeight="1" x14ac:dyDescent="0.25"/>
    <row r="336" ht="14.25" customHeight="1" x14ac:dyDescent="0.25"/>
    <row r="337" ht="14.25" customHeight="1" x14ac:dyDescent="0.25"/>
    <row r="338" ht="14.25" customHeight="1" x14ac:dyDescent="0.25"/>
    <row r="339" ht="14.25" customHeight="1" x14ac:dyDescent="0.25"/>
    <row r="340" ht="14.25" customHeight="1" x14ac:dyDescent="0.25"/>
    <row r="341" ht="14.25" customHeight="1" x14ac:dyDescent="0.25"/>
    <row r="342" ht="14.25" customHeight="1" x14ac:dyDescent="0.25"/>
    <row r="343" ht="14.25" customHeight="1" x14ac:dyDescent="0.25"/>
    <row r="344" ht="14.25" customHeight="1" x14ac:dyDescent="0.25"/>
    <row r="345" ht="14.25" customHeight="1" x14ac:dyDescent="0.25"/>
    <row r="346" ht="14.25" customHeight="1" x14ac:dyDescent="0.25"/>
    <row r="347" ht="14.25" customHeight="1" x14ac:dyDescent="0.25"/>
    <row r="348" ht="14.25" customHeight="1" x14ac:dyDescent="0.25"/>
    <row r="349" ht="14.25" customHeight="1" x14ac:dyDescent="0.25"/>
    <row r="350" ht="14.25" customHeight="1" x14ac:dyDescent="0.25"/>
    <row r="351" ht="14.25" customHeight="1" x14ac:dyDescent="0.25"/>
    <row r="352" ht="14.25" customHeight="1" x14ac:dyDescent="0.25"/>
    <row r="353" ht="14.25" customHeight="1" x14ac:dyDescent="0.25"/>
    <row r="354" ht="14.25" customHeight="1" x14ac:dyDescent="0.25"/>
    <row r="355" ht="14.25" customHeight="1" x14ac:dyDescent="0.25"/>
    <row r="356" ht="14.25" customHeight="1" x14ac:dyDescent="0.25"/>
    <row r="357" ht="14.25" customHeight="1" x14ac:dyDescent="0.25"/>
    <row r="358" ht="14.25" customHeight="1" x14ac:dyDescent="0.25"/>
    <row r="359" ht="14.25" customHeight="1" x14ac:dyDescent="0.25"/>
    <row r="360" ht="14.25" customHeight="1" x14ac:dyDescent="0.25"/>
    <row r="361" ht="14.25" customHeight="1" x14ac:dyDescent="0.25"/>
    <row r="362" ht="14.25" customHeight="1" x14ac:dyDescent="0.25"/>
    <row r="363" ht="14.25" customHeight="1" x14ac:dyDescent="0.25"/>
    <row r="364" ht="14.25" customHeight="1" x14ac:dyDescent="0.25"/>
    <row r="365" ht="14.25" customHeight="1" x14ac:dyDescent="0.25"/>
    <row r="366" ht="14.25" customHeight="1" x14ac:dyDescent="0.25"/>
    <row r="367" ht="14.25" customHeight="1" x14ac:dyDescent="0.25"/>
    <row r="368" ht="14.25" customHeight="1" x14ac:dyDescent="0.25"/>
    <row r="369" ht="14.25" customHeight="1" x14ac:dyDescent="0.25"/>
    <row r="370" ht="14.25" customHeight="1" x14ac:dyDescent="0.25"/>
    <row r="371" ht="14.25" customHeight="1" x14ac:dyDescent="0.25"/>
    <row r="372" ht="14.25" customHeight="1" x14ac:dyDescent="0.25"/>
    <row r="373" ht="14.25" customHeight="1" x14ac:dyDescent="0.25"/>
    <row r="374" ht="14.25" customHeight="1" x14ac:dyDescent="0.25"/>
    <row r="375" ht="14.25" customHeight="1" x14ac:dyDescent="0.25"/>
    <row r="376" ht="14.25" customHeight="1" x14ac:dyDescent="0.25"/>
    <row r="377" ht="14.25" customHeight="1" x14ac:dyDescent="0.25"/>
    <row r="378" ht="14.25" customHeight="1" x14ac:dyDescent="0.25"/>
    <row r="379" ht="14.25" customHeight="1" x14ac:dyDescent="0.25"/>
    <row r="380" ht="14.25" customHeight="1" x14ac:dyDescent="0.25"/>
    <row r="381" ht="14.25" customHeight="1" x14ac:dyDescent="0.25"/>
    <row r="382" ht="14.25" customHeight="1" x14ac:dyDescent="0.25"/>
    <row r="383" ht="14.25" customHeight="1" x14ac:dyDescent="0.25"/>
    <row r="384" ht="14.25" customHeight="1" x14ac:dyDescent="0.25"/>
    <row r="385" ht="14.25" customHeight="1" x14ac:dyDescent="0.25"/>
    <row r="386" ht="14.25" customHeight="1" x14ac:dyDescent="0.25"/>
    <row r="387" ht="14.25" customHeight="1" x14ac:dyDescent="0.25"/>
    <row r="388" ht="14.25" customHeight="1" x14ac:dyDescent="0.25"/>
    <row r="389" ht="14.25" customHeight="1" x14ac:dyDescent="0.25"/>
    <row r="390" ht="14.25" customHeight="1" x14ac:dyDescent="0.25"/>
    <row r="391" ht="14.25" customHeight="1" x14ac:dyDescent="0.25"/>
    <row r="392" ht="14.25" customHeight="1" x14ac:dyDescent="0.25"/>
    <row r="393" ht="14.25" customHeight="1" x14ac:dyDescent="0.25"/>
    <row r="394" ht="14.25" customHeight="1" x14ac:dyDescent="0.25"/>
    <row r="395" ht="14.25" customHeight="1" x14ac:dyDescent="0.25"/>
    <row r="396" ht="14.25" customHeight="1" x14ac:dyDescent="0.25"/>
    <row r="397" ht="14.25" customHeight="1" x14ac:dyDescent="0.25"/>
    <row r="398" ht="14.25" customHeight="1" x14ac:dyDescent="0.25"/>
    <row r="399" ht="14.25" customHeight="1" x14ac:dyDescent="0.25"/>
    <row r="400" ht="14.25" customHeight="1" x14ac:dyDescent="0.25"/>
    <row r="401" ht="14.25" customHeight="1" x14ac:dyDescent="0.25"/>
    <row r="402" ht="14.25" customHeight="1" x14ac:dyDescent="0.25"/>
    <row r="403" ht="14.25" customHeight="1" x14ac:dyDescent="0.25"/>
    <row r="404" ht="14.25" customHeight="1" x14ac:dyDescent="0.25"/>
    <row r="405" ht="14.25" customHeight="1" x14ac:dyDescent="0.25"/>
    <row r="406" ht="14.25" customHeight="1" x14ac:dyDescent="0.25"/>
    <row r="407" ht="14.25" customHeight="1" x14ac:dyDescent="0.25"/>
    <row r="408" ht="14.25" customHeight="1" x14ac:dyDescent="0.25"/>
    <row r="409" ht="14.25" customHeight="1" x14ac:dyDescent="0.25"/>
    <row r="410" ht="14.25" customHeight="1" x14ac:dyDescent="0.25"/>
    <row r="411" ht="14.25" customHeight="1" x14ac:dyDescent="0.25"/>
    <row r="412" ht="14.25" customHeight="1" x14ac:dyDescent="0.25"/>
    <row r="413" ht="14.25" customHeight="1" x14ac:dyDescent="0.25"/>
    <row r="414" ht="14.25" customHeight="1" x14ac:dyDescent="0.25"/>
    <row r="415" ht="14.25" customHeight="1" x14ac:dyDescent="0.25"/>
    <row r="416" ht="14.25" customHeight="1" x14ac:dyDescent="0.25"/>
    <row r="417" ht="14.25" customHeight="1" x14ac:dyDescent="0.25"/>
    <row r="418" ht="14.25" customHeight="1" x14ac:dyDescent="0.25"/>
    <row r="419" ht="14.25" customHeight="1" x14ac:dyDescent="0.25"/>
    <row r="420" ht="14.25" customHeight="1" x14ac:dyDescent="0.25"/>
    <row r="421" ht="14.25" customHeight="1" x14ac:dyDescent="0.25"/>
    <row r="422" ht="14.25" customHeight="1" x14ac:dyDescent="0.25"/>
    <row r="423" ht="14.25" customHeight="1" x14ac:dyDescent="0.25"/>
    <row r="424" ht="14.25" customHeight="1" x14ac:dyDescent="0.25"/>
    <row r="425" ht="14.25" customHeight="1" x14ac:dyDescent="0.25"/>
    <row r="426" ht="14.25" customHeight="1" x14ac:dyDescent="0.25"/>
    <row r="427" ht="14.25" customHeight="1" x14ac:dyDescent="0.25"/>
    <row r="428" ht="14.25" customHeight="1" x14ac:dyDescent="0.25"/>
    <row r="429" ht="14.25" customHeight="1" x14ac:dyDescent="0.25"/>
    <row r="430" ht="14.25" customHeight="1" x14ac:dyDescent="0.25"/>
    <row r="431" ht="14.25" customHeight="1" x14ac:dyDescent="0.25"/>
    <row r="432" ht="14.25" customHeight="1" x14ac:dyDescent="0.25"/>
    <row r="433" ht="14.25" customHeight="1" x14ac:dyDescent="0.25"/>
    <row r="434" ht="14.25" customHeight="1" x14ac:dyDescent="0.25"/>
    <row r="435" ht="14.25" customHeight="1" x14ac:dyDescent="0.25"/>
    <row r="436" ht="14.25" customHeight="1" x14ac:dyDescent="0.25"/>
    <row r="437" ht="14.25" customHeight="1" x14ac:dyDescent="0.25"/>
    <row r="438" ht="14.25" customHeight="1" x14ac:dyDescent="0.25"/>
    <row r="439" ht="14.25" customHeight="1" x14ac:dyDescent="0.25"/>
    <row r="440" ht="14.25" customHeight="1" x14ac:dyDescent="0.25"/>
    <row r="441" ht="14.25" customHeight="1" x14ac:dyDescent="0.25"/>
    <row r="442" ht="14.25" customHeight="1" x14ac:dyDescent="0.25"/>
    <row r="443" ht="14.25" customHeight="1" x14ac:dyDescent="0.25"/>
    <row r="444" ht="14.25" customHeight="1" x14ac:dyDescent="0.25"/>
    <row r="445" ht="14.25" customHeight="1" x14ac:dyDescent="0.25"/>
    <row r="446" ht="14.25" customHeight="1" x14ac:dyDescent="0.25"/>
    <row r="447" ht="14.25" customHeight="1" x14ac:dyDescent="0.25"/>
    <row r="448" ht="14.25" customHeight="1" x14ac:dyDescent="0.25"/>
    <row r="449" ht="14.25" customHeight="1" x14ac:dyDescent="0.25"/>
    <row r="450" ht="14.25" customHeight="1" x14ac:dyDescent="0.25"/>
    <row r="451" ht="14.25" customHeight="1" x14ac:dyDescent="0.25"/>
    <row r="452" ht="14.25" customHeight="1" x14ac:dyDescent="0.25"/>
    <row r="453" ht="14.25" customHeight="1" x14ac:dyDescent="0.25"/>
    <row r="454" ht="14.25" customHeight="1" x14ac:dyDescent="0.25"/>
    <row r="455" ht="14.25" customHeight="1" x14ac:dyDescent="0.25"/>
    <row r="456" ht="14.25" customHeight="1" x14ac:dyDescent="0.25"/>
    <row r="457" ht="14.25" customHeight="1" x14ac:dyDescent="0.25"/>
    <row r="458" ht="14.25" customHeight="1" x14ac:dyDescent="0.25"/>
    <row r="459" ht="14.25" customHeight="1" x14ac:dyDescent="0.25"/>
    <row r="460" ht="14.25" customHeight="1" x14ac:dyDescent="0.25"/>
    <row r="461" ht="14.25" customHeight="1" x14ac:dyDescent="0.25"/>
    <row r="462" ht="14.25" customHeight="1" x14ac:dyDescent="0.25"/>
    <row r="463" ht="14.25" customHeight="1" x14ac:dyDescent="0.25"/>
    <row r="464" ht="14.25" customHeight="1" x14ac:dyDescent="0.25"/>
    <row r="465" ht="14.25" customHeight="1" x14ac:dyDescent="0.25"/>
    <row r="466" ht="14.25" customHeight="1" x14ac:dyDescent="0.25"/>
    <row r="467" ht="14.25" customHeight="1" x14ac:dyDescent="0.25"/>
    <row r="468" ht="14.25" customHeight="1" x14ac:dyDescent="0.25"/>
    <row r="469" ht="14.25" customHeight="1" x14ac:dyDescent="0.25"/>
    <row r="470" ht="14.25" customHeight="1" x14ac:dyDescent="0.25"/>
    <row r="471" ht="14.25" customHeight="1" x14ac:dyDescent="0.25"/>
    <row r="472" ht="14.25" customHeight="1" x14ac:dyDescent="0.25"/>
    <row r="473" ht="14.25" customHeight="1" x14ac:dyDescent="0.25"/>
    <row r="474" ht="14.25" customHeight="1" x14ac:dyDescent="0.25"/>
    <row r="475" ht="14.25" customHeight="1" x14ac:dyDescent="0.25"/>
    <row r="476" ht="14.25" customHeight="1" x14ac:dyDescent="0.25"/>
    <row r="477" ht="14.25" customHeight="1" x14ac:dyDescent="0.25"/>
    <row r="478" ht="14.25" customHeight="1" x14ac:dyDescent="0.25"/>
    <row r="479" ht="14.25" customHeight="1" x14ac:dyDescent="0.25"/>
    <row r="480" ht="14.25" customHeight="1" x14ac:dyDescent="0.25"/>
    <row r="481" ht="14.25" customHeight="1" x14ac:dyDescent="0.25"/>
    <row r="482" ht="14.25" customHeight="1" x14ac:dyDescent="0.25"/>
    <row r="483" ht="14.25" customHeight="1" x14ac:dyDescent="0.25"/>
    <row r="484" ht="14.25" customHeight="1" x14ac:dyDescent="0.25"/>
    <row r="485" ht="14.25" customHeight="1" x14ac:dyDescent="0.25"/>
    <row r="486" ht="14.25" customHeight="1" x14ac:dyDescent="0.25"/>
    <row r="487" ht="14.25" customHeight="1" x14ac:dyDescent="0.25"/>
    <row r="488" ht="14.25" customHeight="1" x14ac:dyDescent="0.25"/>
    <row r="489" ht="14.25" customHeight="1" x14ac:dyDescent="0.25"/>
    <row r="490" ht="14.25" customHeight="1" x14ac:dyDescent="0.25"/>
    <row r="491" ht="14.25" customHeight="1" x14ac:dyDescent="0.25"/>
    <row r="492" ht="14.25" customHeight="1" x14ac:dyDescent="0.25"/>
    <row r="493" ht="14.25" customHeight="1" x14ac:dyDescent="0.25"/>
    <row r="494" ht="14.25" customHeight="1" x14ac:dyDescent="0.25"/>
    <row r="495" ht="14.25" customHeight="1" x14ac:dyDescent="0.25"/>
    <row r="496" ht="14.25" customHeight="1" x14ac:dyDescent="0.25"/>
    <row r="497" ht="14.25" customHeight="1" x14ac:dyDescent="0.25"/>
    <row r="498" ht="14.25" customHeight="1" x14ac:dyDescent="0.25"/>
    <row r="499" ht="14.25" customHeight="1" x14ac:dyDescent="0.25"/>
    <row r="500" ht="14.25" customHeight="1" x14ac:dyDescent="0.25"/>
    <row r="501" ht="14.25" customHeight="1" x14ac:dyDescent="0.25"/>
    <row r="502" ht="14.25" customHeight="1" x14ac:dyDescent="0.25"/>
    <row r="503" ht="14.25" customHeight="1" x14ac:dyDescent="0.25"/>
    <row r="504" ht="14.25" customHeight="1" x14ac:dyDescent="0.25"/>
    <row r="505" ht="14.25" customHeight="1" x14ac:dyDescent="0.25"/>
    <row r="506" ht="14.25" customHeight="1" x14ac:dyDescent="0.25"/>
    <row r="507" ht="14.25" customHeight="1" x14ac:dyDescent="0.25"/>
    <row r="508" ht="14.25" customHeight="1" x14ac:dyDescent="0.25"/>
    <row r="509" ht="14.25" customHeight="1" x14ac:dyDescent="0.25"/>
    <row r="510" ht="14.25" customHeight="1" x14ac:dyDescent="0.25"/>
    <row r="511" ht="14.25" customHeight="1" x14ac:dyDescent="0.25"/>
    <row r="512" ht="14.25" customHeight="1" x14ac:dyDescent="0.25"/>
    <row r="513" ht="14.25" customHeight="1" x14ac:dyDescent="0.25"/>
    <row r="514" ht="14.25" customHeight="1" x14ac:dyDescent="0.25"/>
    <row r="515" ht="14.25" customHeight="1" x14ac:dyDescent="0.25"/>
    <row r="516" ht="14.25" customHeight="1" x14ac:dyDescent="0.25"/>
    <row r="517" ht="14.25" customHeight="1" x14ac:dyDescent="0.25"/>
    <row r="518" ht="14.25" customHeight="1" x14ac:dyDescent="0.25"/>
    <row r="519" ht="14.25" customHeight="1" x14ac:dyDescent="0.25"/>
    <row r="520" ht="14.25" customHeight="1" x14ac:dyDescent="0.25"/>
    <row r="521" ht="14.25" customHeight="1" x14ac:dyDescent="0.25"/>
    <row r="522" ht="14.25" customHeight="1" x14ac:dyDescent="0.25"/>
    <row r="523" ht="14.25" customHeight="1" x14ac:dyDescent="0.25"/>
    <row r="524" ht="14.25" customHeight="1" x14ac:dyDescent="0.25"/>
    <row r="525" ht="14.25" customHeight="1" x14ac:dyDescent="0.25"/>
    <row r="526" ht="14.25" customHeight="1" x14ac:dyDescent="0.25"/>
    <row r="527" ht="14.25" customHeight="1" x14ac:dyDescent="0.25"/>
    <row r="528" ht="14.25" customHeight="1" x14ac:dyDescent="0.25"/>
    <row r="529" ht="14.25" customHeight="1" x14ac:dyDescent="0.25"/>
    <row r="530" ht="14.25" customHeight="1" x14ac:dyDescent="0.25"/>
    <row r="531" ht="14.25" customHeight="1" x14ac:dyDescent="0.25"/>
    <row r="532" ht="14.25" customHeight="1" x14ac:dyDescent="0.25"/>
    <row r="533" ht="14.25" customHeight="1" x14ac:dyDescent="0.25"/>
    <row r="534" ht="14.25" customHeight="1" x14ac:dyDescent="0.25"/>
    <row r="535" ht="14.25" customHeight="1" x14ac:dyDescent="0.25"/>
    <row r="536" ht="14.25" customHeight="1" x14ac:dyDescent="0.25"/>
    <row r="537" ht="14.25" customHeight="1" x14ac:dyDescent="0.25"/>
    <row r="538" ht="14.25" customHeight="1" x14ac:dyDescent="0.25"/>
    <row r="539" ht="14.25" customHeight="1" x14ac:dyDescent="0.25"/>
    <row r="540" ht="14.25" customHeight="1" x14ac:dyDescent="0.25"/>
    <row r="541" ht="14.25" customHeight="1" x14ac:dyDescent="0.25"/>
    <row r="542" ht="14.25" customHeight="1" x14ac:dyDescent="0.25"/>
    <row r="543" ht="14.25" customHeight="1" x14ac:dyDescent="0.25"/>
    <row r="544" ht="14.25" customHeight="1" x14ac:dyDescent="0.25"/>
    <row r="545" ht="14.25" customHeight="1" x14ac:dyDescent="0.25"/>
    <row r="546" ht="14.25" customHeight="1" x14ac:dyDescent="0.25"/>
    <row r="547" ht="14.25" customHeight="1" x14ac:dyDescent="0.25"/>
    <row r="548" ht="14.25" customHeight="1" x14ac:dyDescent="0.25"/>
    <row r="549" ht="14.25" customHeight="1" x14ac:dyDescent="0.25"/>
    <row r="550" ht="14.25" customHeight="1" x14ac:dyDescent="0.25"/>
    <row r="551" ht="14.25" customHeight="1" x14ac:dyDescent="0.25"/>
    <row r="552" ht="14.25" customHeight="1" x14ac:dyDescent="0.25"/>
    <row r="553" ht="14.25" customHeight="1" x14ac:dyDescent="0.25"/>
    <row r="554" ht="14.25" customHeight="1" x14ac:dyDescent="0.25"/>
    <row r="555" ht="14.25" customHeight="1" x14ac:dyDescent="0.25"/>
    <row r="556" ht="14.25" customHeight="1" x14ac:dyDescent="0.25"/>
    <row r="557" ht="14.25" customHeight="1" x14ac:dyDescent="0.25"/>
    <row r="558" ht="14.25" customHeight="1" x14ac:dyDescent="0.25"/>
    <row r="559" ht="14.25" customHeight="1" x14ac:dyDescent="0.25"/>
    <row r="560" ht="14.25" customHeight="1" x14ac:dyDescent="0.25"/>
    <row r="561" ht="14.25" customHeight="1" x14ac:dyDescent="0.25"/>
    <row r="562" ht="14.25" customHeight="1" x14ac:dyDescent="0.25"/>
    <row r="563" ht="14.25" customHeight="1" x14ac:dyDescent="0.25"/>
    <row r="564" ht="14.25" customHeight="1" x14ac:dyDescent="0.25"/>
    <row r="565" ht="14.25" customHeight="1" x14ac:dyDescent="0.25"/>
    <row r="566" ht="14.25" customHeight="1" x14ac:dyDescent="0.25"/>
    <row r="567" ht="14.25" customHeight="1" x14ac:dyDescent="0.25"/>
    <row r="568" ht="14.25" customHeight="1" x14ac:dyDescent="0.25"/>
    <row r="569" ht="14.25" customHeight="1" x14ac:dyDescent="0.25"/>
    <row r="570" ht="14.25" customHeight="1" x14ac:dyDescent="0.25"/>
    <row r="571" ht="14.25" customHeight="1" x14ac:dyDescent="0.25"/>
    <row r="572" ht="14.25" customHeight="1" x14ac:dyDescent="0.25"/>
    <row r="573" ht="14.25" customHeight="1" x14ac:dyDescent="0.25"/>
    <row r="574" ht="14.25" customHeight="1" x14ac:dyDescent="0.25"/>
    <row r="575" ht="14.25" customHeight="1" x14ac:dyDescent="0.25"/>
    <row r="576" ht="14.25" customHeight="1" x14ac:dyDescent="0.25"/>
    <row r="577" ht="14.25" customHeight="1" x14ac:dyDescent="0.25"/>
    <row r="578" ht="14.25" customHeight="1" x14ac:dyDescent="0.25"/>
    <row r="579" ht="14.25" customHeight="1" x14ac:dyDescent="0.25"/>
    <row r="580" ht="14.25" customHeight="1" x14ac:dyDescent="0.25"/>
    <row r="581" ht="14.25" customHeight="1" x14ac:dyDescent="0.25"/>
    <row r="582" ht="14.25" customHeight="1" x14ac:dyDescent="0.25"/>
    <row r="583" ht="14.25" customHeight="1" x14ac:dyDescent="0.25"/>
    <row r="584" ht="14.25" customHeight="1" x14ac:dyDescent="0.25"/>
    <row r="585" ht="14.25" customHeight="1" x14ac:dyDescent="0.25"/>
    <row r="586" ht="14.25" customHeight="1" x14ac:dyDescent="0.25"/>
    <row r="587" ht="14.25" customHeight="1" x14ac:dyDescent="0.25"/>
    <row r="588" ht="14.25" customHeight="1" x14ac:dyDescent="0.25"/>
    <row r="589" ht="14.25" customHeight="1" x14ac:dyDescent="0.25"/>
    <row r="590" ht="14.25" customHeight="1" x14ac:dyDescent="0.25"/>
    <row r="591" ht="14.25" customHeight="1" x14ac:dyDescent="0.25"/>
    <row r="592" ht="14.25" customHeight="1" x14ac:dyDescent="0.25"/>
    <row r="593" ht="14.25" customHeight="1" x14ac:dyDescent="0.25"/>
    <row r="594" ht="14.25" customHeight="1" x14ac:dyDescent="0.25"/>
    <row r="595" ht="14.25" customHeight="1" x14ac:dyDescent="0.25"/>
    <row r="596" ht="14.25" customHeight="1" x14ac:dyDescent="0.25"/>
    <row r="597" ht="14.25" customHeight="1" x14ac:dyDescent="0.25"/>
    <row r="598" ht="14.25" customHeight="1" x14ac:dyDescent="0.25"/>
    <row r="599" ht="14.25" customHeight="1" x14ac:dyDescent="0.25"/>
    <row r="600" ht="14.25" customHeight="1" x14ac:dyDescent="0.25"/>
    <row r="601" ht="14.25" customHeight="1" x14ac:dyDescent="0.25"/>
    <row r="602" ht="14.25" customHeight="1" x14ac:dyDescent="0.25"/>
    <row r="603" ht="14.25" customHeight="1" x14ac:dyDescent="0.25"/>
    <row r="604" ht="14.25" customHeight="1" x14ac:dyDescent="0.25"/>
    <row r="605" ht="14.25" customHeight="1" x14ac:dyDescent="0.25"/>
    <row r="606" ht="14.25" customHeight="1" x14ac:dyDescent="0.25"/>
    <row r="607" ht="14.25" customHeight="1" x14ac:dyDescent="0.25"/>
    <row r="608" ht="14.25" customHeight="1" x14ac:dyDescent="0.25"/>
    <row r="609" ht="14.25" customHeight="1" x14ac:dyDescent="0.25"/>
    <row r="610" ht="14.25" customHeight="1" x14ac:dyDescent="0.25"/>
    <row r="611" ht="14.25" customHeight="1" x14ac:dyDescent="0.25"/>
    <row r="612" ht="14.25" customHeight="1" x14ac:dyDescent="0.25"/>
    <row r="613" ht="14.25" customHeight="1" x14ac:dyDescent="0.25"/>
    <row r="614" ht="14.25" customHeight="1" x14ac:dyDescent="0.25"/>
    <row r="615" ht="14.25" customHeight="1" x14ac:dyDescent="0.25"/>
    <row r="616" ht="14.25" customHeight="1" x14ac:dyDescent="0.25"/>
    <row r="617" ht="14.25" customHeight="1" x14ac:dyDescent="0.25"/>
    <row r="618" ht="14.25" customHeight="1" x14ac:dyDescent="0.25"/>
    <row r="619" ht="14.25" customHeight="1" x14ac:dyDescent="0.25"/>
    <row r="620" ht="14.25" customHeight="1" x14ac:dyDescent="0.25"/>
    <row r="621" ht="14.25" customHeight="1" x14ac:dyDescent="0.25"/>
    <row r="622" ht="14.25" customHeight="1" x14ac:dyDescent="0.25"/>
    <row r="623" ht="14.25" customHeight="1" x14ac:dyDescent="0.25"/>
    <row r="624" ht="14.25" customHeight="1" x14ac:dyDescent="0.25"/>
    <row r="625" ht="14.25" customHeight="1" x14ac:dyDescent="0.25"/>
    <row r="626" ht="14.25" customHeight="1" x14ac:dyDescent="0.25"/>
    <row r="627" ht="14.25" customHeight="1" x14ac:dyDescent="0.25"/>
    <row r="628" ht="14.25" customHeight="1" x14ac:dyDescent="0.25"/>
    <row r="629" ht="14.25" customHeight="1" x14ac:dyDescent="0.25"/>
    <row r="630" ht="14.25" customHeight="1" x14ac:dyDescent="0.25"/>
    <row r="631" ht="14.25" customHeight="1" x14ac:dyDescent="0.25"/>
    <row r="632" ht="14.25" customHeight="1" x14ac:dyDescent="0.25"/>
    <row r="633" ht="14.25" customHeight="1" x14ac:dyDescent="0.25"/>
    <row r="634" ht="14.25" customHeight="1" x14ac:dyDescent="0.25"/>
    <row r="635" ht="14.25" customHeight="1" x14ac:dyDescent="0.25"/>
    <row r="636" ht="14.25" customHeight="1" x14ac:dyDescent="0.25"/>
    <row r="637" ht="14.25" customHeight="1" x14ac:dyDescent="0.25"/>
    <row r="638" ht="14.25" customHeight="1" x14ac:dyDescent="0.25"/>
    <row r="639" ht="14.25" customHeight="1" x14ac:dyDescent="0.25"/>
    <row r="640" ht="14.25" customHeight="1" x14ac:dyDescent="0.25"/>
    <row r="641" ht="14.25" customHeight="1" x14ac:dyDescent="0.25"/>
    <row r="642" ht="14.25" customHeight="1" x14ac:dyDescent="0.25"/>
    <row r="643" ht="14.25" customHeight="1" x14ac:dyDescent="0.25"/>
    <row r="644" ht="14.25" customHeight="1" x14ac:dyDescent="0.25"/>
    <row r="645" ht="14.25" customHeight="1" x14ac:dyDescent="0.25"/>
    <row r="646" ht="14.25" customHeight="1" x14ac:dyDescent="0.25"/>
    <row r="647" ht="14.25" customHeight="1" x14ac:dyDescent="0.25"/>
    <row r="648" ht="14.25" customHeight="1" x14ac:dyDescent="0.25"/>
    <row r="649" ht="14.25" customHeight="1" x14ac:dyDescent="0.25"/>
    <row r="650" ht="14.25" customHeight="1" x14ac:dyDescent="0.25"/>
    <row r="651" ht="14.25" customHeight="1" x14ac:dyDescent="0.25"/>
    <row r="652" ht="14.25" customHeight="1" x14ac:dyDescent="0.25"/>
    <row r="653" ht="14.25" customHeight="1" x14ac:dyDescent="0.25"/>
    <row r="654" ht="14.25" customHeight="1" x14ac:dyDescent="0.25"/>
    <row r="655" ht="14.25" customHeight="1" x14ac:dyDescent="0.25"/>
    <row r="656" ht="14.25" customHeight="1" x14ac:dyDescent="0.25"/>
    <row r="657" ht="14.25" customHeight="1" x14ac:dyDescent="0.25"/>
    <row r="658" ht="14.25" customHeight="1" x14ac:dyDescent="0.25"/>
    <row r="659" ht="14.25" customHeight="1" x14ac:dyDescent="0.25"/>
    <row r="660" ht="14.25" customHeight="1" x14ac:dyDescent="0.25"/>
    <row r="661" ht="14.25" customHeight="1" x14ac:dyDescent="0.25"/>
    <row r="662" ht="14.25" customHeight="1" x14ac:dyDescent="0.25"/>
    <row r="663" ht="14.25" customHeight="1" x14ac:dyDescent="0.25"/>
    <row r="664" ht="14.25" customHeight="1" x14ac:dyDescent="0.25"/>
    <row r="665" ht="14.25" customHeight="1" x14ac:dyDescent="0.25"/>
    <row r="666" ht="14.25" customHeight="1" x14ac:dyDescent="0.25"/>
    <row r="667" ht="14.25" customHeight="1" x14ac:dyDescent="0.25"/>
    <row r="668" ht="14.25" customHeight="1" x14ac:dyDescent="0.25"/>
    <row r="669" ht="14.25" customHeight="1" x14ac:dyDescent="0.25"/>
    <row r="670" ht="14.25" customHeight="1" x14ac:dyDescent="0.25"/>
    <row r="671" ht="14.25" customHeight="1" x14ac:dyDescent="0.25"/>
    <row r="672" ht="14.25" customHeight="1" x14ac:dyDescent="0.25"/>
    <row r="673" ht="14.25" customHeight="1" x14ac:dyDescent="0.25"/>
    <row r="674" ht="14.25" customHeight="1" x14ac:dyDescent="0.25"/>
    <row r="675" ht="14.25" customHeight="1" x14ac:dyDescent="0.25"/>
    <row r="676" ht="14.25" customHeight="1" x14ac:dyDescent="0.25"/>
    <row r="677" ht="14.25" customHeight="1" x14ac:dyDescent="0.25"/>
    <row r="678" ht="14.25" customHeight="1" x14ac:dyDescent="0.25"/>
    <row r="679" ht="14.25" customHeight="1" x14ac:dyDescent="0.25"/>
    <row r="680" ht="14.25" customHeight="1" x14ac:dyDescent="0.25"/>
    <row r="681" ht="14.25" customHeight="1" x14ac:dyDescent="0.25"/>
    <row r="682" ht="14.25" customHeight="1" x14ac:dyDescent="0.25"/>
    <row r="683" ht="14.25" customHeight="1" x14ac:dyDescent="0.25"/>
    <row r="684" ht="14.25" customHeight="1" x14ac:dyDescent="0.25"/>
    <row r="685" ht="14.25" customHeight="1" x14ac:dyDescent="0.25"/>
    <row r="686" ht="14.25" customHeight="1" x14ac:dyDescent="0.25"/>
    <row r="687" ht="14.25" customHeight="1" x14ac:dyDescent="0.25"/>
    <row r="688" ht="14.25" customHeight="1" x14ac:dyDescent="0.25"/>
    <row r="689" ht="14.25" customHeight="1" x14ac:dyDescent="0.25"/>
    <row r="690" ht="14.25" customHeight="1" x14ac:dyDescent="0.25"/>
    <row r="691" ht="14.25" customHeight="1" x14ac:dyDescent="0.25"/>
    <row r="692" ht="14.25" customHeight="1" x14ac:dyDescent="0.25"/>
    <row r="693" ht="14.25" customHeight="1" x14ac:dyDescent="0.25"/>
    <row r="694" ht="14.25" customHeight="1" x14ac:dyDescent="0.25"/>
    <row r="695" ht="14.25" customHeight="1" x14ac:dyDescent="0.25"/>
    <row r="696" ht="14.25" customHeight="1" x14ac:dyDescent="0.25"/>
    <row r="697" ht="14.25" customHeight="1" x14ac:dyDescent="0.25"/>
    <row r="698" ht="14.25" customHeight="1" x14ac:dyDescent="0.25"/>
    <row r="699" ht="14.25" customHeight="1" x14ac:dyDescent="0.25"/>
    <row r="700" ht="14.25" customHeight="1" x14ac:dyDescent="0.25"/>
    <row r="701" ht="14.25" customHeight="1" x14ac:dyDescent="0.25"/>
    <row r="702" ht="14.25" customHeight="1" x14ac:dyDescent="0.25"/>
    <row r="703" ht="14.25" customHeight="1" x14ac:dyDescent="0.25"/>
    <row r="704" ht="14.25" customHeight="1" x14ac:dyDescent="0.25"/>
    <row r="705" ht="14.25" customHeight="1" x14ac:dyDescent="0.25"/>
    <row r="706" ht="14.25" customHeight="1" x14ac:dyDescent="0.25"/>
    <row r="707" ht="14.25" customHeight="1" x14ac:dyDescent="0.25"/>
    <row r="708" ht="14.25" customHeight="1" x14ac:dyDescent="0.25"/>
    <row r="709" ht="14.25" customHeight="1" x14ac:dyDescent="0.25"/>
    <row r="710" ht="14.25" customHeight="1" x14ac:dyDescent="0.25"/>
    <row r="711" ht="14.25" customHeight="1" x14ac:dyDescent="0.25"/>
    <row r="712" ht="14.25" customHeight="1" x14ac:dyDescent="0.25"/>
    <row r="713" ht="14.25" customHeight="1" x14ac:dyDescent="0.25"/>
    <row r="714" ht="14.25" customHeight="1" x14ac:dyDescent="0.25"/>
    <row r="715" ht="14.25" customHeight="1" x14ac:dyDescent="0.25"/>
    <row r="716" ht="14.25" customHeight="1" x14ac:dyDescent="0.25"/>
    <row r="717" ht="14.25" customHeight="1" x14ac:dyDescent="0.25"/>
    <row r="718" ht="14.25" customHeight="1" x14ac:dyDescent="0.25"/>
    <row r="719" ht="14.25" customHeight="1" x14ac:dyDescent="0.25"/>
    <row r="720" ht="14.25" customHeight="1" x14ac:dyDescent="0.25"/>
    <row r="721" ht="14.25" customHeight="1" x14ac:dyDescent="0.25"/>
    <row r="722" ht="14.25" customHeight="1" x14ac:dyDescent="0.25"/>
    <row r="723" ht="14.25" customHeight="1" x14ac:dyDescent="0.25"/>
    <row r="724" ht="14.25" customHeight="1" x14ac:dyDescent="0.25"/>
    <row r="725" ht="14.25" customHeight="1" x14ac:dyDescent="0.25"/>
    <row r="726" ht="14.25" customHeight="1" x14ac:dyDescent="0.25"/>
    <row r="727" ht="14.25" customHeight="1" x14ac:dyDescent="0.25"/>
    <row r="728" ht="14.25" customHeight="1" x14ac:dyDescent="0.25"/>
    <row r="729" ht="14.25" customHeight="1" x14ac:dyDescent="0.25"/>
    <row r="730" ht="14.25" customHeight="1" x14ac:dyDescent="0.25"/>
    <row r="731" ht="14.25" customHeight="1" x14ac:dyDescent="0.25"/>
    <row r="732" ht="14.25" customHeight="1" x14ac:dyDescent="0.25"/>
    <row r="733" ht="14.25" customHeight="1" x14ac:dyDescent="0.25"/>
    <row r="734" ht="14.25" customHeight="1" x14ac:dyDescent="0.25"/>
    <row r="735" ht="14.25" customHeight="1" x14ac:dyDescent="0.25"/>
    <row r="736" ht="14.25" customHeight="1" x14ac:dyDescent="0.25"/>
    <row r="737" ht="14.25" customHeight="1" x14ac:dyDescent="0.25"/>
    <row r="738" ht="14.25" customHeight="1" x14ac:dyDescent="0.25"/>
    <row r="739" ht="14.25" customHeight="1" x14ac:dyDescent="0.25"/>
    <row r="740" ht="14.25" customHeight="1" x14ac:dyDescent="0.25"/>
    <row r="741" ht="14.25" customHeight="1" x14ac:dyDescent="0.25"/>
    <row r="742" ht="14.25" customHeight="1" x14ac:dyDescent="0.25"/>
    <row r="743" ht="14.25" customHeight="1" x14ac:dyDescent="0.25"/>
    <row r="744" ht="14.25" customHeight="1" x14ac:dyDescent="0.25"/>
    <row r="745" ht="14.25" customHeight="1" x14ac:dyDescent="0.25"/>
    <row r="746" ht="14.25" customHeight="1" x14ac:dyDescent="0.25"/>
    <row r="747" ht="14.25" customHeight="1" x14ac:dyDescent="0.25"/>
    <row r="748" ht="14.25" customHeight="1" x14ac:dyDescent="0.25"/>
    <row r="749" ht="14.25" customHeight="1" x14ac:dyDescent="0.25"/>
    <row r="750" ht="14.25" customHeight="1" x14ac:dyDescent="0.25"/>
    <row r="751" ht="14.25" customHeight="1" x14ac:dyDescent="0.25"/>
    <row r="752" ht="14.25" customHeight="1" x14ac:dyDescent="0.25"/>
    <row r="753" ht="14.25" customHeight="1" x14ac:dyDescent="0.25"/>
    <row r="754" ht="14.25" customHeight="1" x14ac:dyDescent="0.25"/>
    <row r="755" ht="14.25" customHeight="1" x14ac:dyDescent="0.25"/>
    <row r="756" ht="14.25" customHeight="1" x14ac:dyDescent="0.25"/>
    <row r="757" ht="14.25" customHeight="1" x14ac:dyDescent="0.25"/>
    <row r="758" ht="14.25" customHeight="1" x14ac:dyDescent="0.25"/>
    <row r="759" ht="14.25" customHeight="1" x14ac:dyDescent="0.25"/>
    <row r="760" ht="14.25" customHeight="1" x14ac:dyDescent="0.25"/>
    <row r="761" ht="14.25" customHeight="1" x14ac:dyDescent="0.25"/>
    <row r="762" ht="14.25" customHeight="1" x14ac:dyDescent="0.25"/>
    <row r="763" ht="14.25" customHeight="1" x14ac:dyDescent="0.25"/>
    <row r="764" ht="14.25" customHeight="1" x14ac:dyDescent="0.25"/>
    <row r="765" ht="14.25" customHeight="1" x14ac:dyDescent="0.25"/>
    <row r="766" ht="14.25" customHeight="1" x14ac:dyDescent="0.25"/>
    <row r="767" ht="14.25" customHeight="1" x14ac:dyDescent="0.25"/>
    <row r="768" ht="14.25" customHeight="1" x14ac:dyDescent="0.25"/>
    <row r="769" ht="14.25" customHeight="1" x14ac:dyDescent="0.25"/>
    <row r="770" ht="14.25" customHeight="1" x14ac:dyDescent="0.25"/>
    <row r="771" ht="14.25" customHeight="1" x14ac:dyDescent="0.25"/>
    <row r="772" ht="14.25" customHeight="1" x14ac:dyDescent="0.25"/>
    <row r="773" ht="14.25" customHeight="1" x14ac:dyDescent="0.25"/>
    <row r="774" ht="14.25" customHeight="1" x14ac:dyDescent="0.25"/>
    <row r="775" ht="14.25" customHeight="1" x14ac:dyDescent="0.25"/>
    <row r="776" ht="14.25" customHeight="1" x14ac:dyDescent="0.25"/>
    <row r="777" ht="14.25" customHeight="1" x14ac:dyDescent="0.25"/>
    <row r="778" ht="14.25" customHeight="1" x14ac:dyDescent="0.25"/>
    <row r="779" ht="14.25" customHeight="1" x14ac:dyDescent="0.25"/>
    <row r="780" ht="14.25" customHeight="1" x14ac:dyDescent="0.25"/>
    <row r="781" ht="14.25" customHeight="1" x14ac:dyDescent="0.25"/>
    <row r="782" ht="14.25" customHeight="1" x14ac:dyDescent="0.25"/>
    <row r="783" ht="14.25" customHeight="1" x14ac:dyDescent="0.25"/>
    <row r="784" ht="14.25" customHeight="1" x14ac:dyDescent="0.25"/>
    <row r="785" ht="14.25" customHeight="1" x14ac:dyDescent="0.25"/>
    <row r="786" ht="14.25" customHeight="1" x14ac:dyDescent="0.25"/>
    <row r="787" ht="14.25" customHeight="1" x14ac:dyDescent="0.25"/>
    <row r="788" ht="14.25" customHeight="1" x14ac:dyDescent="0.25"/>
    <row r="789" ht="14.25" customHeight="1" x14ac:dyDescent="0.25"/>
    <row r="790" ht="14.25" customHeight="1" x14ac:dyDescent="0.25"/>
    <row r="791" ht="14.25" customHeight="1" x14ac:dyDescent="0.25"/>
    <row r="792" ht="14.25" customHeight="1" x14ac:dyDescent="0.25"/>
    <row r="793" ht="14.25" customHeight="1" x14ac:dyDescent="0.25"/>
    <row r="794" ht="14.25" customHeight="1" x14ac:dyDescent="0.25"/>
    <row r="795" ht="14.25" customHeight="1" x14ac:dyDescent="0.25"/>
    <row r="796" ht="14.25" customHeight="1" x14ac:dyDescent="0.25"/>
    <row r="797" ht="14.25" customHeight="1" x14ac:dyDescent="0.25"/>
    <row r="798" ht="14.25" customHeight="1" x14ac:dyDescent="0.25"/>
    <row r="799" ht="14.25" customHeight="1" x14ac:dyDescent="0.25"/>
    <row r="800" ht="14.25" customHeight="1" x14ac:dyDescent="0.25"/>
    <row r="801" ht="14.25" customHeight="1" x14ac:dyDescent="0.25"/>
    <row r="802" ht="14.25" customHeight="1" x14ac:dyDescent="0.25"/>
    <row r="803" ht="14.25" customHeight="1" x14ac:dyDescent="0.25"/>
    <row r="804" ht="14.25" customHeight="1" x14ac:dyDescent="0.25"/>
    <row r="805" ht="14.25" customHeight="1" x14ac:dyDescent="0.25"/>
    <row r="806" ht="14.25" customHeight="1" x14ac:dyDescent="0.25"/>
    <row r="807" ht="14.25" customHeight="1" x14ac:dyDescent="0.25"/>
    <row r="808" ht="14.25" customHeight="1" x14ac:dyDescent="0.25"/>
    <row r="809" ht="14.25" customHeight="1" x14ac:dyDescent="0.25"/>
    <row r="810" ht="14.25" customHeight="1" x14ac:dyDescent="0.25"/>
    <row r="811" ht="14.25" customHeight="1" x14ac:dyDescent="0.25"/>
    <row r="812" ht="14.25" customHeight="1" x14ac:dyDescent="0.25"/>
    <row r="813" ht="14.25" customHeight="1" x14ac:dyDescent="0.25"/>
    <row r="814" ht="14.25" customHeight="1" x14ac:dyDescent="0.25"/>
    <row r="815" ht="14.25" customHeight="1" x14ac:dyDescent="0.25"/>
    <row r="816" ht="14.25" customHeight="1" x14ac:dyDescent="0.25"/>
    <row r="817" ht="14.25" customHeight="1" x14ac:dyDescent="0.25"/>
    <row r="818" ht="14.25" customHeight="1" x14ac:dyDescent="0.25"/>
    <row r="819" ht="14.25" customHeight="1" x14ac:dyDescent="0.25"/>
    <row r="820" ht="14.25" customHeight="1" x14ac:dyDescent="0.25"/>
    <row r="821" ht="14.25" customHeight="1" x14ac:dyDescent="0.25"/>
    <row r="822" ht="14.25" customHeight="1" x14ac:dyDescent="0.25"/>
    <row r="823" ht="14.25" customHeight="1" x14ac:dyDescent="0.25"/>
    <row r="824" ht="14.25" customHeight="1" x14ac:dyDescent="0.25"/>
    <row r="825" ht="14.25" customHeight="1" x14ac:dyDescent="0.25"/>
    <row r="826" ht="14.25" customHeight="1" x14ac:dyDescent="0.25"/>
    <row r="827" ht="14.25" customHeight="1" x14ac:dyDescent="0.25"/>
    <row r="828" ht="14.25" customHeight="1" x14ac:dyDescent="0.25"/>
    <row r="829" ht="14.25" customHeight="1" x14ac:dyDescent="0.25"/>
    <row r="830" ht="14.25" customHeight="1" x14ac:dyDescent="0.25"/>
    <row r="831" ht="14.25" customHeight="1" x14ac:dyDescent="0.25"/>
    <row r="832" ht="14.25" customHeight="1" x14ac:dyDescent="0.25"/>
    <row r="833" ht="14.25" customHeight="1" x14ac:dyDescent="0.25"/>
    <row r="834" ht="14.25" customHeight="1" x14ac:dyDescent="0.25"/>
    <row r="835" ht="14.25" customHeight="1" x14ac:dyDescent="0.25"/>
    <row r="836" ht="14.25" customHeight="1" x14ac:dyDescent="0.25"/>
    <row r="837" ht="14.25" customHeight="1" x14ac:dyDescent="0.25"/>
    <row r="838" ht="14.25" customHeight="1" x14ac:dyDescent="0.25"/>
    <row r="839" ht="14.25" customHeight="1" x14ac:dyDescent="0.25"/>
    <row r="840" ht="14.25" customHeight="1" x14ac:dyDescent="0.25"/>
    <row r="841" ht="14.25" customHeight="1" x14ac:dyDescent="0.25"/>
    <row r="842" ht="14.25" customHeight="1" x14ac:dyDescent="0.25"/>
    <row r="843" ht="14.25" customHeight="1" x14ac:dyDescent="0.25"/>
    <row r="844" ht="14.25" customHeight="1" x14ac:dyDescent="0.25"/>
    <row r="845" ht="14.25" customHeight="1" x14ac:dyDescent="0.25"/>
    <row r="846" ht="14.25" customHeight="1" x14ac:dyDescent="0.25"/>
    <row r="847" ht="14.25" customHeight="1" x14ac:dyDescent="0.25"/>
    <row r="848" ht="14.25" customHeight="1" x14ac:dyDescent="0.25"/>
    <row r="849" ht="14.25" customHeight="1" x14ac:dyDescent="0.25"/>
    <row r="850" ht="14.25" customHeight="1" x14ac:dyDescent="0.25"/>
    <row r="851" ht="14.25" customHeight="1" x14ac:dyDescent="0.25"/>
    <row r="852" ht="14.25" customHeight="1" x14ac:dyDescent="0.25"/>
    <row r="853" ht="14.25" customHeight="1" x14ac:dyDescent="0.25"/>
    <row r="854" ht="14.25" customHeight="1" x14ac:dyDescent="0.25"/>
    <row r="855" ht="14.25" customHeight="1" x14ac:dyDescent="0.25"/>
    <row r="856" ht="14.25" customHeight="1" x14ac:dyDescent="0.25"/>
    <row r="857" ht="14.25" customHeight="1" x14ac:dyDescent="0.25"/>
    <row r="858" ht="14.25" customHeight="1" x14ac:dyDescent="0.25"/>
    <row r="859" ht="14.25" customHeight="1" x14ac:dyDescent="0.25"/>
    <row r="860" ht="14.25" customHeight="1" x14ac:dyDescent="0.25"/>
    <row r="861" ht="14.25" customHeight="1" x14ac:dyDescent="0.25"/>
    <row r="862" ht="14.25" customHeight="1" x14ac:dyDescent="0.25"/>
    <row r="863" ht="14.25" customHeight="1" x14ac:dyDescent="0.25"/>
    <row r="864" ht="14.25" customHeight="1" x14ac:dyDescent="0.25"/>
    <row r="865" ht="14.25" customHeight="1" x14ac:dyDescent="0.25"/>
    <row r="866" ht="14.25" customHeight="1" x14ac:dyDescent="0.25"/>
    <row r="867" ht="14.25" customHeight="1" x14ac:dyDescent="0.25"/>
    <row r="868" ht="14.25" customHeight="1" x14ac:dyDescent="0.25"/>
    <row r="869" ht="14.25" customHeight="1" x14ac:dyDescent="0.25"/>
    <row r="870" ht="14.25" customHeight="1" x14ac:dyDescent="0.25"/>
    <row r="871" ht="14.25" customHeight="1" x14ac:dyDescent="0.25"/>
    <row r="872" ht="14.25" customHeight="1" x14ac:dyDescent="0.25"/>
    <row r="873" ht="14.25" customHeight="1" x14ac:dyDescent="0.25"/>
    <row r="874" ht="14.25" customHeight="1" x14ac:dyDescent="0.25"/>
    <row r="875" ht="14.25" customHeight="1" x14ac:dyDescent="0.25"/>
    <row r="876" ht="14.25" customHeight="1" x14ac:dyDescent="0.25"/>
    <row r="877" ht="14.25" customHeight="1" x14ac:dyDescent="0.25"/>
    <row r="878" ht="14.25" customHeight="1" x14ac:dyDescent="0.25"/>
    <row r="879" ht="14.25" customHeight="1" x14ac:dyDescent="0.25"/>
    <row r="880" ht="14.25" customHeight="1" x14ac:dyDescent="0.25"/>
    <row r="881" ht="14.25" customHeight="1" x14ac:dyDescent="0.25"/>
    <row r="882" ht="14.25" customHeight="1" x14ac:dyDescent="0.25"/>
    <row r="883" ht="14.25" customHeight="1" x14ac:dyDescent="0.25"/>
    <row r="884" ht="14.25" customHeight="1" x14ac:dyDescent="0.25"/>
    <row r="885" ht="14.25" customHeight="1" x14ac:dyDescent="0.25"/>
    <row r="886" ht="14.25" customHeight="1" x14ac:dyDescent="0.25"/>
    <row r="887" ht="14.25" customHeight="1" x14ac:dyDescent="0.25"/>
    <row r="888" ht="14.25" customHeight="1" x14ac:dyDescent="0.25"/>
    <row r="889" ht="14.25" customHeight="1" x14ac:dyDescent="0.25"/>
    <row r="890" ht="14.25" customHeight="1" x14ac:dyDescent="0.25"/>
    <row r="891" ht="14.25" customHeight="1" x14ac:dyDescent="0.25"/>
    <row r="892" ht="14.25" customHeight="1" x14ac:dyDescent="0.25"/>
    <row r="893" ht="14.25" customHeight="1" x14ac:dyDescent="0.25"/>
    <row r="894" ht="14.25" customHeight="1" x14ac:dyDescent="0.25"/>
    <row r="895" ht="14.25" customHeight="1" x14ac:dyDescent="0.25"/>
    <row r="896" ht="14.25" customHeight="1" x14ac:dyDescent="0.25"/>
    <row r="897" ht="14.25" customHeight="1" x14ac:dyDescent="0.25"/>
    <row r="898" ht="14.25" customHeight="1" x14ac:dyDescent="0.25"/>
    <row r="899" ht="14.25" customHeight="1" x14ac:dyDescent="0.25"/>
    <row r="900" ht="14.25" customHeight="1" x14ac:dyDescent="0.25"/>
    <row r="901" ht="14.25" customHeight="1" x14ac:dyDescent="0.25"/>
    <row r="902" ht="14.25" customHeight="1" x14ac:dyDescent="0.25"/>
    <row r="903" ht="14.25" customHeight="1" x14ac:dyDescent="0.25"/>
    <row r="904" ht="14.25" customHeight="1" x14ac:dyDescent="0.25"/>
    <row r="905" ht="14.25" customHeight="1" x14ac:dyDescent="0.25"/>
    <row r="906" ht="14.25" customHeight="1" x14ac:dyDescent="0.25"/>
    <row r="907" ht="14.25" customHeight="1" x14ac:dyDescent="0.25"/>
    <row r="908" ht="14.25" customHeight="1" x14ac:dyDescent="0.25"/>
    <row r="909" ht="14.25" customHeight="1" x14ac:dyDescent="0.25"/>
    <row r="910" ht="14.25" customHeight="1" x14ac:dyDescent="0.25"/>
    <row r="911" ht="14.25" customHeight="1" x14ac:dyDescent="0.25"/>
    <row r="912" ht="14.25" customHeight="1" x14ac:dyDescent="0.25"/>
    <row r="913" ht="14.25" customHeight="1" x14ac:dyDescent="0.25"/>
    <row r="914" ht="14.25" customHeight="1" x14ac:dyDescent="0.25"/>
    <row r="915" ht="14.25" customHeight="1" x14ac:dyDescent="0.25"/>
    <row r="916" ht="14.25" customHeight="1" x14ac:dyDescent="0.25"/>
    <row r="917" ht="14.25" customHeight="1" x14ac:dyDescent="0.25"/>
    <row r="918" ht="14.25" customHeight="1" x14ac:dyDescent="0.25"/>
    <row r="919" ht="14.25" customHeight="1" x14ac:dyDescent="0.25"/>
    <row r="920" ht="14.25" customHeight="1" x14ac:dyDescent="0.25"/>
    <row r="921" ht="14.25" customHeight="1" x14ac:dyDescent="0.25"/>
    <row r="922" ht="14.25" customHeight="1" x14ac:dyDescent="0.25"/>
    <row r="923" ht="14.25" customHeight="1" x14ac:dyDescent="0.25"/>
    <row r="924" ht="14.25" customHeight="1" x14ac:dyDescent="0.25"/>
    <row r="925" ht="14.25" customHeight="1" x14ac:dyDescent="0.25"/>
    <row r="926" ht="14.25" customHeight="1" x14ac:dyDescent="0.25"/>
    <row r="927" ht="14.25" customHeight="1" x14ac:dyDescent="0.25"/>
    <row r="928" ht="14.25" customHeight="1" x14ac:dyDescent="0.25"/>
    <row r="929" ht="14.25" customHeight="1" x14ac:dyDescent="0.25"/>
    <row r="930" ht="14.25" customHeight="1" x14ac:dyDescent="0.25"/>
    <row r="931" ht="14.25" customHeight="1" x14ac:dyDescent="0.25"/>
    <row r="932" ht="14.25" customHeight="1" x14ac:dyDescent="0.25"/>
    <row r="933" ht="14.25" customHeight="1" x14ac:dyDescent="0.25"/>
    <row r="934" ht="14.25" customHeight="1" x14ac:dyDescent="0.25"/>
    <row r="935" ht="14.25" customHeight="1" x14ac:dyDescent="0.25"/>
    <row r="936" ht="14.25" customHeight="1" x14ac:dyDescent="0.25"/>
    <row r="937" ht="14.25" customHeight="1" x14ac:dyDescent="0.25"/>
    <row r="938" ht="14.25" customHeight="1" x14ac:dyDescent="0.25"/>
    <row r="939" ht="14.25" customHeight="1" x14ac:dyDescent="0.25"/>
    <row r="940" ht="14.25" customHeight="1" x14ac:dyDescent="0.25"/>
    <row r="941" ht="14.25" customHeight="1" x14ac:dyDescent="0.25"/>
    <row r="942" ht="14.25" customHeight="1" x14ac:dyDescent="0.25"/>
    <row r="943" ht="14.25" customHeight="1" x14ac:dyDescent="0.25"/>
    <row r="944" ht="14.25" customHeight="1" x14ac:dyDescent="0.25"/>
    <row r="945" ht="14.25" customHeight="1" x14ac:dyDescent="0.25"/>
    <row r="946" ht="14.25" customHeight="1" x14ac:dyDescent="0.25"/>
    <row r="947" ht="14.25" customHeight="1" x14ac:dyDescent="0.25"/>
    <row r="948" ht="14.25" customHeight="1" x14ac:dyDescent="0.25"/>
    <row r="949" ht="14.25" customHeight="1" x14ac:dyDescent="0.25"/>
    <row r="950" ht="14.25" customHeight="1" x14ac:dyDescent="0.25"/>
    <row r="951" ht="14.25" customHeight="1" x14ac:dyDescent="0.25"/>
    <row r="952" ht="14.25" customHeight="1" x14ac:dyDescent="0.25"/>
    <row r="953" ht="14.25" customHeight="1" x14ac:dyDescent="0.25"/>
    <row r="954" ht="14.25" customHeight="1" x14ac:dyDescent="0.25"/>
    <row r="955" ht="14.25" customHeight="1" x14ac:dyDescent="0.25"/>
    <row r="956" ht="14.25" customHeight="1" x14ac:dyDescent="0.25"/>
    <row r="957" ht="14.25" customHeight="1" x14ac:dyDescent="0.25"/>
    <row r="958" ht="14.25" customHeight="1" x14ac:dyDescent="0.25"/>
    <row r="959" ht="14.25" customHeight="1" x14ac:dyDescent="0.25"/>
    <row r="960" ht="14.25" customHeight="1" x14ac:dyDescent="0.25"/>
    <row r="961" ht="14.25" customHeight="1" x14ac:dyDescent="0.25"/>
    <row r="962" ht="14.25" customHeight="1" x14ac:dyDescent="0.25"/>
    <row r="963" ht="14.25" customHeight="1" x14ac:dyDescent="0.25"/>
    <row r="964" ht="14.25" customHeight="1" x14ac:dyDescent="0.25"/>
    <row r="965" ht="14.25" customHeight="1" x14ac:dyDescent="0.25"/>
    <row r="966" ht="14.25" customHeight="1" x14ac:dyDescent="0.25"/>
    <row r="967" ht="14.25" customHeight="1" x14ac:dyDescent="0.25"/>
    <row r="968" ht="14.25" customHeight="1" x14ac:dyDescent="0.25"/>
    <row r="969" ht="14.25" customHeight="1" x14ac:dyDescent="0.25"/>
    <row r="970" ht="14.25" customHeight="1" x14ac:dyDescent="0.25"/>
    <row r="971" ht="14.25" customHeight="1" x14ac:dyDescent="0.25"/>
    <row r="972" ht="14.25" customHeight="1" x14ac:dyDescent="0.25"/>
    <row r="973" ht="14.25" customHeight="1" x14ac:dyDescent="0.25"/>
    <row r="974" ht="14.25" customHeight="1" x14ac:dyDescent="0.25"/>
    <row r="975" ht="14.25" customHeight="1" x14ac:dyDescent="0.25"/>
    <row r="976" ht="14.25" customHeight="1" x14ac:dyDescent="0.25"/>
    <row r="977" ht="14.25" customHeight="1" x14ac:dyDescent="0.25"/>
    <row r="978" ht="14.25" customHeight="1" x14ac:dyDescent="0.25"/>
    <row r="979" ht="14.25" customHeight="1" x14ac:dyDescent="0.25"/>
    <row r="980" ht="14.25" customHeight="1" x14ac:dyDescent="0.25"/>
    <row r="981" ht="14.25" customHeight="1" x14ac:dyDescent="0.25"/>
    <row r="982" ht="14.25" customHeight="1" x14ac:dyDescent="0.25"/>
    <row r="983" ht="14.25" customHeight="1" x14ac:dyDescent="0.25"/>
    <row r="984" ht="14.25" customHeight="1" x14ac:dyDescent="0.25"/>
    <row r="985" ht="14.25" customHeight="1" x14ac:dyDescent="0.25"/>
    <row r="986" ht="14.25" customHeight="1" x14ac:dyDescent="0.25"/>
    <row r="987" ht="14.25" customHeight="1" x14ac:dyDescent="0.25"/>
    <row r="988" ht="14.25" customHeight="1" x14ac:dyDescent="0.25"/>
    <row r="989" ht="14.25" customHeight="1" x14ac:dyDescent="0.25"/>
    <row r="990" ht="14.25" customHeight="1" x14ac:dyDescent="0.25"/>
    <row r="991" ht="14.25" customHeight="1" x14ac:dyDescent="0.25"/>
    <row r="992" ht="14.25" customHeight="1" x14ac:dyDescent="0.25"/>
    <row r="993" ht="14.25" customHeight="1" x14ac:dyDescent="0.25"/>
    <row r="994" ht="14.25" customHeight="1" x14ac:dyDescent="0.25"/>
    <row r="995" ht="14.25" customHeight="1" x14ac:dyDescent="0.25"/>
    <row r="996" ht="14.25" customHeight="1" x14ac:dyDescent="0.25"/>
    <row r="997" ht="14.25" customHeight="1" x14ac:dyDescent="0.25"/>
    <row r="998" ht="14.25" customHeight="1" x14ac:dyDescent="0.25"/>
    <row r="999" ht="14.25" customHeight="1" x14ac:dyDescent="0.25"/>
    <row r="1000" ht="14.25" customHeight="1" x14ac:dyDescent="0.25"/>
  </sheetData>
  <pageMargins left="0.7" right="0.7" top="0.75" bottom="0.75" header="0" footer="0"/>
  <pageSetup orientation="landscape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6"/>
  <dimension ref="A1:K1000"/>
  <sheetViews>
    <sheetView workbookViewId="0"/>
  </sheetViews>
  <sheetFormatPr defaultColWidth="14.42578125" defaultRowHeight="15" customHeight="1" x14ac:dyDescent="0.25"/>
  <cols>
    <col min="1" max="1" width="16.7109375" customWidth="1"/>
    <col min="2" max="2" width="18.28515625" customWidth="1"/>
    <col min="3" max="3" width="6.7109375" customWidth="1"/>
    <col min="4" max="4" width="10.140625" customWidth="1"/>
    <col min="5" max="5" width="36.28515625" customWidth="1"/>
    <col min="6" max="7" width="7.28515625" customWidth="1"/>
    <col min="8" max="9" width="8.7109375" customWidth="1"/>
    <col min="10" max="10" width="6.7109375" customWidth="1"/>
    <col min="11" max="26" width="8.7109375" customWidth="1"/>
  </cols>
  <sheetData>
    <row r="1" spans="1:11" ht="14.25" customHeight="1" x14ac:dyDescent="0.25">
      <c r="A1" s="4" t="s">
        <v>248</v>
      </c>
      <c r="B1" s="4" t="s">
        <v>11</v>
      </c>
      <c r="C1" s="4" t="s">
        <v>284</v>
      </c>
      <c r="D1" s="4" t="s">
        <v>285</v>
      </c>
      <c r="E1" s="4" t="s">
        <v>286</v>
      </c>
      <c r="F1" s="4" t="s">
        <v>1</v>
      </c>
      <c r="G1" s="4" t="s">
        <v>287</v>
      </c>
      <c r="H1" s="4" t="s">
        <v>0</v>
      </c>
      <c r="I1" s="4" t="s">
        <v>288</v>
      </c>
      <c r="J1" s="4" t="s">
        <v>10</v>
      </c>
      <c r="K1" s="4" t="s">
        <v>289</v>
      </c>
    </row>
    <row r="2" spans="1:11" ht="14.25" customHeight="1" x14ac:dyDescent="0.25">
      <c r="A2" s="4" t="s">
        <v>249</v>
      </c>
      <c r="B2" s="4" t="s">
        <v>290</v>
      </c>
      <c r="C2" s="4" t="s">
        <v>291</v>
      </c>
      <c r="D2" s="4" t="s">
        <v>292</v>
      </c>
      <c r="E2" s="4" t="s">
        <v>293</v>
      </c>
      <c r="F2" s="4">
        <v>18.16</v>
      </c>
      <c r="G2" s="4" t="s">
        <v>287</v>
      </c>
      <c r="H2" s="4" t="s">
        <v>7</v>
      </c>
      <c r="I2" s="4" t="s">
        <v>4</v>
      </c>
      <c r="J2" s="4">
        <v>2016</v>
      </c>
      <c r="K2" s="4" t="s">
        <v>289</v>
      </c>
    </row>
    <row r="3" spans="1:11" ht="14.25" customHeight="1" x14ac:dyDescent="0.25">
      <c r="A3" s="4" t="s">
        <v>247</v>
      </c>
      <c r="B3" s="4" t="s">
        <v>294</v>
      </c>
      <c r="C3" s="4" t="s">
        <v>295</v>
      </c>
      <c r="D3" s="4" t="s">
        <v>296</v>
      </c>
      <c r="E3" s="4" t="s">
        <v>297</v>
      </c>
      <c r="F3" s="4">
        <v>13</v>
      </c>
      <c r="G3" s="4" t="s">
        <v>287</v>
      </c>
      <c r="H3" s="4" t="s">
        <v>7</v>
      </c>
      <c r="I3" s="4" t="s">
        <v>4</v>
      </c>
      <c r="J3" s="4">
        <v>2017</v>
      </c>
      <c r="K3" s="4" t="s">
        <v>298</v>
      </c>
    </row>
    <row r="4" spans="1:11" ht="14.25" customHeight="1" x14ac:dyDescent="0.25">
      <c r="A4" s="4" t="s">
        <v>247</v>
      </c>
      <c r="B4" s="4" t="s">
        <v>299</v>
      </c>
      <c r="C4" s="4" t="s">
        <v>300</v>
      </c>
      <c r="D4" s="4" t="s">
        <v>301</v>
      </c>
      <c r="E4" s="4" t="s">
        <v>302</v>
      </c>
      <c r="F4" s="4">
        <v>3.3</v>
      </c>
      <c r="G4" s="4" t="s">
        <v>287</v>
      </c>
      <c r="H4" s="4" t="s">
        <v>7</v>
      </c>
      <c r="I4" s="4" t="s">
        <v>4</v>
      </c>
      <c r="J4" s="4">
        <v>2018</v>
      </c>
      <c r="K4" s="4" t="s">
        <v>303</v>
      </c>
    </row>
    <row r="5" spans="1:11" ht="14.25" customHeight="1" x14ac:dyDescent="0.25">
      <c r="A5" s="4" t="s">
        <v>250</v>
      </c>
      <c r="B5" s="4" t="s">
        <v>304</v>
      </c>
      <c r="C5" s="4" t="s">
        <v>305</v>
      </c>
      <c r="D5" s="4" t="s">
        <v>306</v>
      </c>
      <c r="E5" s="4" t="s">
        <v>307</v>
      </c>
      <c r="F5" s="4">
        <v>9.1999999999999993</v>
      </c>
      <c r="G5" s="4" t="s">
        <v>287</v>
      </c>
      <c r="H5" s="4" t="s">
        <v>7</v>
      </c>
      <c r="I5" s="4" t="s">
        <v>4</v>
      </c>
      <c r="J5" s="4">
        <v>2019</v>
      </c>
      <c r="K5" s="4" t="s">
        <v>308</v>
      </c>
    </row>
    <row r="6" spans="1:11" ht="14.25" customHeight="1" x14ac:dyDescent="0.25">
      <c r="A6" s="4" t="s">
        <v>250</v>
      </c>
      <c r="B6" s="4" t="s">
        <v>309</v>
      </c>
      <c r="C6" s="4" t="s">
        <v>310</v>
      </c>
      <c r="D6" s="4" t="s">
        <v>311</v>
      </c>
      <c r="E6" s="4" t="s">
        <v>312</v>
      </c>
      <c r="F6" s="4">
        <v>15.7</v>
      </c>
      <c r="G6" s="4" t="s">
        <v>287</v>
      </c>
      <c r="H6" s="4" t="s">
        <v>7</v>
      </c>
      <c r="I6" s="4" t="s">
        <v>4</v>
      </c>
      <c r="J6" s="4">
        <v>2020</v>
      </c>
      <c r="K6" s="4" t="s">
        <v>313</v>
      </c>
    </row>
    <row r="7" spans="1:11" ht="14.25" customHeight="1" x14ac:dyDescent="0.25">
      <c r="A7" s="4" t="s">
        <v>251</v>
      </c>
      <c r="B7" s="4" t="s">
        <v>314</v>
      </c>
      <c r="C7" s="4" t="s">
        <v>300</v>
      </c>
      <c r="D7" s="4" t="s">
        <v>301</v>
      </c>
      <c r="E7" s="4" t="s">
        <v>315</v>
      </c>
      <c r="F7" s="4">
        <v>6.4</v>
      </c>
      <c r="G7" s="4" t="s">
        <v>287</v>
      </c>
      <c r="H7" s="4" t="s">
        <v>7</v>
      </c>
      <c r="I7" s="4" t="s">
        <v>4</v>
      </c>
      <c r="J7" s="4">
        <v>2021</v>
      </c>
      <c r="K7" s="4" t="s">
        <v>316</v>
      </c>
    </row>
    <row r="8" spans="1:11" ht="14.25" customHeight="1" x14ac:dyDescent="0.25">
      <c r="A8" s="4" t="s">
        <v>317</v>
      </c>
      <c r="B8" s="4" t="s">
        <v>318</v>
      </c>
      <c r="C8" s="4" t="s">
        <v>319</v>
      </c>
      <c r="D8" s="4" t="s">
        <v>320</v>
      </c>
      <c r="E8" s="4" t="s">
        <v>321</v>
      </c>
      <c r="F8" s="4">
        <v>15.2</v>
      </c>
      <c r="G8" s="4" t="s">
        <v>287</v>
      </c>
      <c r="H8" s="4" t="s">
        <v>7</v>
      </c>
      <c r="I8" s="4" t="s">
        <v>4</v>
      </c>
      <c r="J8" s="4">
        <v>2022</v>
      </c>
      <c r="K8" s="4" t="s">
        <v>322</v>
      </c>
    </row>
    <row r="9" spans="1:11" ht="14.25" customHeight="1" x14ac:dyDescent="0.25">
      <c r="A9" s="4" t="s">
        <v>323</v>
      </c>
      <c r="B9" s="4" t="s">
        <v>324</v>
      </c>
      <c r="C9" s="4" t="s">
        <v>291</v>
      </c>
      <c r="D9" s="4" t="s">
        <v>292</v>
      </c>
      <c r="E9" s="4" t="s">
        <v>325</v>
      </c>
      <c r="F9" s="4">
        <v>8</v>
      </c>
      <c r="G9" s="4" t="s">
        <v>287</v>
      </c>
      <c r="H9" s="4" t="s">
        <v>7</v>
      </c>
      <c r="I9" s="4" t="s">
        <v>4</v>
      </c>
      <c r="J9" s="4">
        <v>2023</v>
      </c>
      <c r="K9" s="4" t="s">
        <v>326</v>
      </c>
    </row>
    <row r="10" spans="1:11" ht="14.25" customHeight="1" x14ac:dyDescent="0.25">
      <c r="A10" s="4" t="s">
        <v>327</v>
      </c>
      <c r="B10" s="4" t="s">
        <v>328</v>
      </c>
      <c r="C10" s="4" t="s">
        <v>319</v>
      </c>
      <c r="D10" s="4" t="s">
        <v>320</v>
      </c>
      <c r="E10" s="4" t="s">
        <v>329</v>
      </c>
      <c r="F10" s="4">
        <v>11</v>
      </c>
      <c r="G10" s="4" t="s">
        <v>287</v>
      </c>
      <c r="H10" s="4" t="s">
        <v>7</v>
      </c>
      <c r="I10" s="4" t="s">
        <v>4</v>
      </c>
      <c r="J10" s="4">
        <v>2024</v>
      </c>
      <c r="K10" s="4" t="s">
        <v>330</v>
      </c>
    </row>
    <row r="11" spans="1:11" ht="14.25" customHeight="1" x14ac:dyDescent="0.25">
      <c r="A11" s="4" t="s">
        <v>331</v>
      </c>
      <c r="B11" s="4" t="s">
        <v>332</v>
      </c>
      <c r="C11" s="4" t="s">
        <v>319</v>
      </c>
      <c r="D11" s="4" t="s">
        <v>320</v>
      </c>
      <c r="E11" s="4" t="s">
        <v>333</v>
      </c>
      <c r="F11" s="4">
        <v>1.1000000000000001</v>
      </c>
      <c r="G11" s="4" t="s">
        <v>334</v>
      </c>
      <c r="H11" s="4" t="s">
        <v>7</v>
      </c>
      <c r="I11" s="4" t="s">
        <v>4</v>
      </c>
      <c r="J11" s="4">
        <v>2024</v>
      </c>
      <c r="K11" s="4" t="s">
        <v>330</v>
      </c>
    </row>
    <row r="12" spans="1:11" ht="14.25" customHeight="1" x14ac:dyDescent="0.25">
      <c r="A12" s="4" t="s">
        <v>331</v>
      </c>
      <c r="B12" s="4" t="s">
        <v>335</v>
      </c>
      <c r="C12" s="4" t="s">
        <v>336</v>
      </c>
      <c r="D12" s="4" t="s">
        <v>337</v>
      </c>
      <c r="E12" s="4" t="s">
        <v>338</v>
      </c>
      <c r="F12" s="4">
        <v>12.34</v>
      </c>
      <c r="G12" s="4" t="s">
        <v>334</v>
      </c>
      <c r="H12" s="4" t="s">
        <v>7</v>
      </c>
      <c r="I12" s="4" t="s">
        <v>4</v>
      </c>
      <c r="J12" s="4">
        <v>2024</v>
      </c>
      <c r="K12" s="4" t="s">
        <v>330</v>
      </c>
    </row>
    <row r="13" spans="1:11" ht="14.25" customHeight="1" x14ac:dyDescent="0.25">
      <c r="A13" s="4" t="s">
        <v>331</v>
      </c>
      <c r="B13" s="4" t="s">
        <v>339</v>
      </c>
      <c r="C13" s="4" t="s">
        <v>340</v>
      </c>
      <c r="D13" s="4" t="s">
        <v>341</v>
      </c>
      <c r="E13" s="4" t="s">
        <v>342</v>
      </c>
      <c r="F13" s="4">
        <v>20.100000000000001</v>
      </c>
      <c r="G13" s="4" t="s">
        <v>334</v>
      </c>
      <c r="H13" s="4" t="s">
        <v>7</v>
      </c>
      <c r="I13" s="4" t="s">
        <v>4</v>
      </c>
      <c r="J13" s="4">
        <v>2024</v>
      </c>
      <c r="K13" s="4" t="s">
        <v>330</v>
      </c>
    </row>
    <row r="14" spans="1:11" ht="14.25" customHeight="1" x14ac:dyDescent="0.25">
      <c r="A14" s="4" t="s">
        <v>331</v>
      </c>
      <c r="B14" s="4" t="s">
        <v>343</v>
      </c>
      <c r="C14" s="4" t="s">
        <v>291</v>
      </c>
      <c r="D14" s="4" t="s">
        <v>292</v>
      </c>
      <c r="E14" s="4" t="s">
        <v>344</v>
      </c>
      <c r="F14" s="4">
        <v>2.5</v>
      </c>
      <c r="G14" s="4" t="s">
        <v>334</v>
      </c>
      <c r="H14" s="4" t="s">
        <v>7</v>
      </c>
      <c r="I14" s="4" t="s">
        <v>4</v>
      </c>
      <c r="J14" s="4">
        <v>2024</v>
      </c>
      <c r="K14" s="4" t="s">
        <v>330</v>
      </c>
    </row>
    <row r="15" spans="1:11" ht="14.25" customHeight="1" x14ac:dyDescent="0.25">
      <c r="A15" s="4" t="s">
        <v>331</v>
      </c>
      <c r="B15" s="4" t="s">
        <v>345</v>
      </c>
      <c r="C15" s="4" t="s">
        <v>310</v>
      </c>
      <c r="D15" s="4" t="s">
        <v>311</v>
      </c>
      <c r="E15" s="4" t="s">
        <v>346</v>
      </c>
      <c r="F15" s="4">
        <v>13.2</v>
      </c>
      <c r="G15" s="4" t="s">
        <v>334</v>
      </c>
      <c r="H15" s="4" t="s">
        <v>7</v>
      </c>
      <c r="I15" s="4" t="s">
        <v>4</v>
      </c>
      <c r="J15" s="4">
        <v>2024</v>
      </c>
      <c r="K15" s="4" t="s">
        <v>330</v>
      </c>
    </row>
    <row r="16" spans="1:11" ht="14.25" customHeight="1" x14ac:dyDescent="0.25">
      <c r="A16" s="4" t="s">
        <v>331</v>
      </c>
      <c r="B16" s="4" t="s">
        <v>347</v>
      </c>
      <c r="C16" s="4" t="s">
        <v>348</v>
      </c>
      <c r="D16" s="4" t="s">
        <v>349</v>
      </c>
      <c r="E16" s="4" t="s">
        <v>350</v>
      </c>
      <c r="F16" s="4">
        <v>4.4000000000000004</v>
      </c>
      <c r="G16" s="4" t="s">
        <v>334</v>
      </c>
      <c r="H16" s="4" t="s">
        <v>7</v>
      </c>
      <c r="I16" s="4" t="s">
        <v>4</v>
      </c>
      <c r="J16" s="4">
        <v>2024</v>
      </c>
      <c r="K16" s="4" t="s">
        <v>330</v>
      </c>
    </row>
    <row r="17" spans="1:11" ht="14.25" customHeight="1" x14ac:dyDescent="0.25">
      <c r="A17" s="4" t="s">
        <v>249</v>
      </c>
      <c r="B17" s="4" t="s">
        <v>351</v>
      </c>
      <c r="C17" s="4" t="s">
        <v>319</v>
      </c>
      <c r="D17" s="4" t="s">
        <v>320</v>
      </c>
      <c r="E17" s="4" t="s">
        <v>352</v>
      </c>
      <c r="F17" s="4">
        <v>8.92</v>
      </c>
      <c r="G17" s="4" t="s">
        <v>287</v>
      </c>
      <c r="H17" s="4" t="s">
        <v>4</v>
      </c>
      <c r="I17" s="4" t="s">
        <v>7</v>
      </c>
      <c r="J17" s="4">
        <v>2016</v>
      </c>
      <c r="K17" s="4" t="s">
        <v>289</v>
      </c>
    </row>
    <row r="18" spans="1:11" ht="14.25" customHeight="1" x14ac:dyDescent="0.25">
      <c r="A18" s="4" t="s">
        <v>247</v>
      </c>
      <c r="B18" s="4" t="s">
        <v>353</v>
      </c>
      <c r="C18" s="4" t="s">
        <v>348</v>
      </c>
      <c r="D18" s="4" t="s">
        <v>349</v>
      </c>
      <c r="E18" s="4" t="s">
        <v>354</v>
      </c>
      <c r="F18" s="4">
        <v>17.7</v>
      </c>
      <c r="G18" s="4" t="s">
        <v>287</v>
      </c>
      <c r="H18" s="4" t="s">
        <v>4</v>
      </c>
      <c r="I18" s="4" t="s">
        <v>7</v>
      </c>
      <c r="J18" s="4">
        <v>2016</v>
      </c>
      <c r="K18" s="4" t="s">
        <v>289</v>
      </c>
    </row>
    <row r="19" spans="1:11" ht="14.25" customHeight="1" x14ac:dyDescent="0.25">
      <c r="A19" s="4" t="s">
        <v>247</v>
      </c>
      <c r="B19" s="4" t="s">
        <v>355</v>
      </c>
      <c r="C19" s="4" t="s">
        <v>356</v>
      </c>
      <c r="D19" s="4" t="s">
        <v>357</v>
      </c>
      <c r="E19" s="4" t="s">
        <v>358</v>
      </c>
      <c r="F19" s="4">
        <v>25.9</v>
      </c>
      <c r="G19" s="4" t="s">
        <v>287</v>
      </c>
      <c r="H19" s="4" t="s">
        <v>4</v>
      </c>
      <c r="I19" s="4" t="s">
        <v>7</v>
      </c>
      <c r="J19" s="4">
        <v>2016</v>
      </c>
      <c r="K19" s="4" t="s">
        <v>289</v>
      </c>
    </row>
    <row r="20" spans="1:11" ht="14.25" customHeight="1" x14ac:dyDescent="0.25">
      <c r="A20" s="4" t="s">
        <v>250</v>
      </c>
      <c r="B20" s="4" t="s">
        <v>359</v>
      </c>
      <c r="C20" s="4" t="s">
        <v>360</v>
      </c>
      <c r="D20" s="4" t="s">
        <v>361</v>
      </c>
      <c r="E20" s="4" t="s">
        <v>362</v>
      </c>
      <c r="F20" s="4">
        <v>0.8</v>
      </c>
      <c r="G20" s="4" t="s">
        <v>287</v>
      </c>
      <c r="H20" s="4" t="s">
        <v>4</v>
      </c>
      <c r="I20" s="4" t="s">
        <v>7</v>
      </c>
      <c r="J20" s="4">
        <v>2016</v>
      </c>
      <c r="K20" s="4" t="s">
        <v>289</v>
      </c>
    </row>
    <row r="21" spans="1:11" ht="14.25" customHeight="1" x14ac:dyDescent="0.25">
      <c r="A21" s="4" t="s">
        <v>250</v>
      </c>
      <c r="B21" s="4" t="s">
        <v>363</v>
      </c>
      <c r="C21" s="4" t="s">
        <v>364</v>
      </c>
      <c r="D21" s="4" t="s">
        <v>365</v>
      </c>
      <c r="E21" s="4" t="s">
        <v>366</v>
      </c>
      <c r="F21" s="4">
        <v>5.9</v>
      </c>
      <c r="G21" s="4" t="s">
        <v>287</v>
      </c>
      <c r="H21" s="4" t="s">
        <v>4</v>
      </c>
      <c r="I21" s="4" t="s">
        <v>7</v>
      </c>
      <c r="J21" s="4">
        <v>2016</v>
      </c>
      <c r="K21" s="4" t="s">
        <v>289</v>
      </c>
    </row>
    <row r="22" spans="1:11" ht="14.25" customHeight="1" x14ac:dyDescent="0.25">
      <c r="A22" s="4" t="s">
        <v>251</v>
      </c>
      <c r="B22" s="4" t="s">
        <v>367</v>
      </c>
      <c r="C22" s="4" t="s">
        <v>360</v>
      </c>
      <c r="D22" s="4" t="s">
        <v>361</v>
      </c>
      <c r="E22" s="4" t="s">
        <v>368</v>
      </c>
      <c r="F22" s="4">
        <v>6.6</v>
      </c>
      <c r="G22" s="4" t="s">
        <v>287</v>
      </c>
      <c r="H22" s="4" t="s">
        <v>4</v>
      </c>
      <c r="I22" s="4" t="s">
        <v>7</v>
      </c>
      <c r="J22" s="4">
        <v>2016</v>
      </c>
      <c r="K22" s="4" t="s">
        <v>289</v>
      </c>
    </row>
    <row r="23" spans="1:11" ht="14.25" customHeight="1" x14ac:dyDescent="0.25">
      <c r="A23" s="4" t="s">
        <v>317</v>
      </c>
      <c r="B23" s="4" t="s">
        <v>369</v>
      </c>
      <c r="C23" s="4" t="s">
        <v>310</v>
      </c>
      <c r="D23" s="4" t="s">
        <v>311</v>
      </c>
      <c r="E23" s="4" t="s">
        <v>370</v>
      </c>
      <c r="F23" s="4">
        <v>10.7</v>
      </c>
      <c r="G23" s="4" t="s">
        <v>287</v>
      </c>
      <c r="H23" s="4" t="s">
        <v>4</v>
      </c>
      <c r="I23" s="4" t="s">
        <v>7</v>
      </c>
      <c r="J23" s="4">
        <v>2016</v>
      </c>
      <c r="K23" s="4" t="s">
        <v>289</v>
      </c>
    </row>
    <row r="24" spans="1:11" ht="14.25" customHeight="1" x14ac:dyDescent="0.25">
      <c r="A24" s="4" t="s">
        <v>323</v>
      </c>
      <c r="B24" s="4" t="s">
        <v>371</v>
      </c>
      <c r="C24" s="4" t="s">
        <v>319</v>
      </c>
      <c r="D24" s="4" t="s">
        <v>320</v>
      </c>
      <c r="E24" s="4" t="s">
        <v>372</v>
      </c>
      <c r="F24" s="4">
        <v>6</v>
      </c>
      <c r="G24" s="4" t="s">
        <v>287</v>
      </c>
      <c r="H24" s="4" t="s">
        <v>4</v>
      </c>
      <c r="I24" s="4" t="s">
        <v>7</v>
      </c>
      <c r="J24" s="4">
        <v>2016</v>
      </c>
      <c r="K24" s="4" t="s">
        <v>289</v>
      </c>
    </row>
    <row r="25" spans="1:11" ht="14.25" customHeight="1" x14ac:dyDescent="0.25">
      <c r="A25" s="4" t="s">
        <v>327</v>
      </c>
      <c r="B25" s="4" t="s">
        <v>373</v>
      </c>
      <c r="C25" s="4" t="s">
        <v>374</v>
      </c>
      <c r="D25" s="4" t="s">
        <v>375</v>
      </c>
      <c r="E25" s="4" t="s">
        <v>376</v>
      </c>
      <c r="F25" s="4">
        <v>1</v>
      </c>
      <c r="G25" s="4" t="s">
        <v>287</v>
      </c>
      <c r="H25" s="4" t="s">
        <v>4</v>
      </c>
      <c r="I25" s="4" t="s">
        <v>7</v>
      </c>
      <c r="J25" s="4">
        <v>2016</v>
      </c>
      <c r="K25" s="4" t="s">
        <v>289</v>
      </c>
    </row>
    <row r="26" spans="1:11" ht="14.25" customHeight="1" x14ac:dyDescent="0.25">
      <c r="A26" s="4" t="s">
        <v>331</v>
      </c>
      <c r="B26" s="4" t="s">
        <v>377</v>
      </c>
      <c r="C26" s="4" t="s">
        <v>378</v>
      </c>
      <c r="D26" s="4" t="s">
        <v>379</v>
      </c>
      <c r="F26" s="4">
        <v>0</v>
      </c>
      <c r="G26" s="4" t="s">
        <v>334</v>
      </c>
      <c r="H26" s="4" t="s">
        <v>4</v>
      </c>
      <c r="I26" s="4" t="s">
        <v>7</v>
      </c>
      <c r="J26" s="4">
        <v>2016</v>
      </c>
      <c r="K26" s="4" t="s">
        <v>289</v>
      </c>
    </row>
    <row r="27" spans="1:11" ht="14.25" customHeight="1" x14ac:dyDescent="0.25">
      <c r="A27" s="4" t="s">
        <v>331</v>
      </c>
      <c r="B27" s="4" t="s">
        <v>380</v>
      </c>
      <c r="C27" s="4" t="s">
        <v>374</v>
      </c>
      <c r="D27" s="4" t="s">
        <v>375</v>
      </c>
      <c r="E27" s="4" t="s">
        <v>381</v>
      </c>
      <c r="F27" s="4">
        <v>12.2</v>
      </c>
      <c r="G27" s="4" t="s">
        <v>334</v>
      </c>
      <c r="H27" s="4" t="s">
        <v>4</v>
      </c>
      <c r="I27" s="4" t="s">
        <v>7</v>
      </c>
      <c r="J27" s="4">
        <v>2016</v>
      </c>
      <c r="K27" s="4" t="s">
        <v>289</v>
      </c>
    </row>
    <row r="28" spans="1:11" ht="14.25" customHeight="1" x14ac:dyDescent="0.25">
      <c r="A28" s="4" t="s">
        <v>331</v>
      </c>
      <c r="B28" s="4" t="s">
        <v>382</v>
      </c>
      <c r="C28" s="4" t="s">
        <v>383</v>
      </c>
      <c r="D28" s="4" t="s">
        <v>384</v>
      </c>
      <c r="E28" s="4" t="s">
        <v>385</v>
      </c>
      <c r="F28" s="4">
        <v>12.6</v>
      </c>
      <c r="G28" s="4" t="s">
        <v>334</v>
      </c>
      <c r="H28" s="4" t="s">
        <v>4</v>
      </c>
      <c r="I28" s="4" t="s">
        <v>7</v>
      </c>
      <c r="J28" s="4">
        <v>2016</v>
      </c>
      <c r="K28" s="4" t="s">
        <v>289</v>
      </c>
    </row>
    <row r="29" spans="1:11" ht="14.25" customHeight="1" x14ac:dyDescent="0.25">
      <c r="A29" s="4" t="s">
        <v>331</v>
      </c>
      <c r="B29" s="4" t="s">
        <v>386</v>
      </c>
      <c r="C29" s="4" t="s">
        <v>300</v>
      </c>
      <c r="D29" s="4" t="s">
        <v>301</v>
      </c>
      <c r="E29" s="4" t="s">
        <v>387</v>
      </c>
      <c r="F29" s="4">
        <v>9.9600000000000009</v>
      </c>
      <c r="G29" s="4" t="s">
        <v>334</v>
      </c>
      <c r="H29" s="4" t="s">
        <v>4</v>
      </c>
      <c r="I29" s="4" t="s">
        <v>7</v>
      </c>
      <c r="J29" s="4">
        <v>2016</v>
      </c>
      <c r="K29" s="4" t="s">
        <v>289</v>
      </c>
    </row>
    <row r="30" spans="1:11" ht="14.25" customHeight="1" x14ac:dyDescent="0.25">
      <c r="A30" s="4" t="s">
        <v>331</v>
      </c>
      <c r="B30" s="4" t="s">
        <v>388</v>
      </c>
      <c r="C30" s="4" t="s">
        <v>383</v>
      </c>
      <c r="D30" s="4" t="s">
        <v>384</v>
      </c>
      <c r="E30" s="4" t="s">
        <v>389</v>
      </c>
      <c r="F30" s="4">
        <v>4</v>
      </c>
      <c r="G30" s="4" t="s">
        <v>334</v>
      </c>
      <c r="H30" s="4" t="s">
        <v>4</v>
      </c>
      <c r="I30" s="4" t="s">
        <v>7</v>
      </c>
      <c r="J30" s="4">
        <v>2016</v>
      </c>
      <c r="K30" s="4" t="s">
        <v>289</v>
      </c>
    </row>
    <row r="31" spans="1:11" ht="14.25" customHeight="1" x14ac:dyDescent="0.25">
      <c r="A31" s="4" t="s">
        <v>331</v>
      </c>
      <c r="B31" s="4" t="s">
        <v>390</v>
      </c>
      <c r="C31" s="4" t="s">
        <v>391</v>
      </c>
      <c r="D31" s="4" t="s">
        <v>392</v>
      </c>
      <c r="E31" s="4" t="s">
        <v>393</v>
      </c>
      <c r="F31" s="4">
        <v>12.3</v>
      </c>
      <c r="G31" s="4" t="s">
        <v>334</v>
      </c>
      <c r="H31" s="4" t="s">
        <v>4</v>
      </c>
      <c r="I31" s="4" t="s">
        <v>7</v>
      </c>
      <c r="J31" s="4">
        <v>2016</v>
      </c>
      <c r="K31" s="4" t="s">
        <v>289</v>
      </c>
    </row>
    <row r="32" spans="1:11" ht="14.25" customHeight="1" x14ac:dyDescent="0.25">
      <c r="A32" s="4" t="s">
        <v>249</v>
      </c>
      <c r="B32" s="4" t="s">
        <v>394</v>
      </c>
      <c r="C32" s="4" t="s">
        <v>395</v>
      </c>
      <c r="D32" s="4" t="s">
        <v>396</v>
      </c>
      <c r="E32" s="4" t="s">
        <v>397</v>
      </c>
      <c r="F32" s="4">
        <v>37.42</v>
      </c>
      <c r="G32" s="4" t="s">
        <v>287</v>
      </c>
      <c r="H32" s="4" t="s">
        <v>2</v>
      </c>
      <c r="I32" s="4" t="s">
        <v>5</v>
      </c>
      <c r="J32" s="4">
        <v>2016</v>
      </c>
      <c r="K32" s="4" t="s">
        <v>289</v>
      </c>
    </row>
    <row r="33" spans="1:11" ht="14.25" customHeight="1" x14ac:dyDescent="0.25">
      <c r="A33" s="4" t="s">
        <v>247</v>
      </c>
      <c r="B33" s="4" t="s">
        <v>398</v>
      </c>
      <c r="C33" s="4" t="s">
        <v>340</v>
      </c>
      <c r="D33" s="4" t="s">
        <v>341</v>
      </c>
      <c r="E33" s="4" t="s">
        <v>399</v>
      </c>
      <c r="F33" s="4">
        <v>19.2</v>
      </c>
      <c r="G33" s="4" t="s">
        <v>287</v>
      </c>
      <c r="H33" s="4" t="s">
        <v>2</v>
      </c>
      <c r="I33" s="4" t="s">
        <v>5</v>
      </c>
      <c r="J33" s="4">
        <v>2016</v>
      </c>
      <c r="K33" s="4" t="s">
        <v>289</v>
      </c>
    </row>
    <row r="34" spans="1:11" ht="14.25" customHeight="1" x14ac:dyDescent="0.25">
      <c r="A34" s="4" t="s">
        <v>247</v>
      </c>
      <c r="B34" s="4" t="s">
        <v>400</v>
      </c>
      <c r="C34" s="4" t="s">
        <v>360</v>
      </c>
      <c r="D34" s="4" t="s">
        <v>361</v>
      </c>
      <c r="E34" s="4" t="s">
        <v>401</v>
      </c>
      <c r="F34" s="4">
        <v>11.2</v>
      </c>
      <c r="G34" s="4" t="s">
        <v>287</v>
      </c>
      <c r="H34" s="4" t="s">
        <v>2</v>
      </c>
      <c r="I34" s="4" t="s">
        <v>5</v>
      </c>
      <c r="J34" s="4">
        <v>2016</v>
      </c>
      <c r="K34" s="4" t="s">
        <v>289</v>
      </c>
    </row>
    <row r="35" spans="1:11" ht="14.25" customHeight="1" x14ac:dyDescent="0.25">
      <c r="A35" s="4" t="s">
        <v>250</v>
      </c>
      <c r="B35" s="4" t="s">
        <v>402</v>
      </c>
      <c r="C35" s="4" t="s">
        <v>391</v>
      </c>
      <c r="D35" s="4" t="s">
        <v>392</v>
      </c>
      <c r="E35" s="4" t="s">
        <v>403</v>
      </c>
      <c r="F35" s="4">
        <v>10.5</v>
      </c>
      <c r="G35" s="4" t="s">
        <v>287</v>
      </c>
      <c r="H35" s="4" t="s">
        <v>2</v>
      </c>
      <c r="I35" s="4" t="s">
        <v>5</v>
      </c>
      <c r="J35" s="4">
        <v>2016</v>
      </c>
      <c r="K35" s="4" t="s">
        <v>289</v>
      </c>
    </row>
    <row r="36" spans="1:11" ht="14.25" customHeight="1" x14ac:dyDescent="0.25">
      <c r="A36" s="4" t="s">
        <v>250</v>
      </c>
      <c r="B36" s="4" t="s">
        <v>404</v>
      </c>
      <c r="C36" s="4" t="s">
        <v>405</v>
      </c>
      <c r="D36" s="4" t="s">
        <v>406</v>
      </c>
      <c r="E36" s="4" t="s">
        <v>407</v>
      </c>
      <c r="F36" s="4">
        <v>7.2</v>
      </c>
      <c r="G36" s="4" t="s">
        <v>287</v>
      </c>
      <c r="H36" s="4" t="s">
        <v>2</v>
      </c>
      <c r="I36" s="4" t="s">
        <v>5</v>
      </c>
      <c r="J36" s="4">
        <v>2016</v>
      </c>
      <c r="K36" s="4" t="s">
        <v>289</v>
      </c>
    </row>
    <row r="37" spans="1:11" ht="14.25" customHeight="1" x14ac:dyDescent="0.25">
      <c r="A37" s="4" t="s">
        <v>251</v>
      </c>
      <c r="B37" s="4" t="s">
        <v>408</v>
      </c>
      <c r="C37" s="4" t="s">
        <v>409</v>
      </c>
      <c r="D37" s="4" t="s">
        <v>410</v>
      </c>
      <c r="E37" s="4" t="s">
        <v>411</v>
      </c>
      <c r="F37" s="4">
        <v>7.4</v>
      </c>
      <c r="G37" s="4" t="s">
        <v>287</v>
      </c>
      <c r="H37" s="4" t="s">
        <v>2</v>
      </c>
      <c r="I37" s="4" t="s">
        <v>5</v>
      </c>
      <c r="J37" s="4">
        <v>2016</v>
      </c>
      <c r="K37" s="4" t="s">
        <v>289</v>
      </c>
    </row>
    <row r="38" spans="1:11" ht="14.25" customHeight="1" x14ac:dyDescent="0.25">
      <c r="A38" s="4" t="s">
        <v>317</v>
      </c>
      <c r="B38" s="4" t="s">
        <v>412</v>
      </c>
      <c r="C38" s="4" t="s">
        <v>413</v>
      </c>
      <c r="D38" s="4" t="s">
        <v>414</v>
      </c>
      <c r="E38" s="4" t="s">
        <v>415</v>
      </c>
      <c r="F38" s="4">
        <v>31.1</v>
      </c>
      <c r="G38" s="4" t="s">
        <v>287</v>
      </c>
      <c r="H38" s="4" t="s">
        <v>2</v>
      </c>
      <c r="I38" s="4" t="s">
        <v>5</v>
      </c>
      <c r="J38" s="4">
        <v>2016</v>
      </c>
      <c r="K38" s="4" t="s">
        <v>289</v>
      </c>
    </row>
    <row r="39" spans="1:11" ht="14.25" customHeight="1" x14ac:dyDescent="0.25">
      <c r="A39" s="4" t="s">
        <v>323</v>
      </c>
      <c r="B39" s="4" t="s">
        <v>416</v>
      </c>
      <c r="C39" s="4" t="s">
        <v>417</v>
      </c>
      <c r="D39" s="4" t="s">
        <v>418</v>
      </c>
      <c r="E39" s="4" t="s">
        <v>419</v>
      </c>
      <c r="F39" s="4">
        <v>13</v>
      </c>
      <c r="G39" s="4" t="s">
        <v>287</v>
      </c>
      <c r="H39" s="4" t="s">
        <v>2</v>
      </c>
      <c r="I39" s="4" t="s">
        <v>5</v>
      </c>
      <c r="J39" s="4">
        <v>2016</v>
      </c>
      <c r="K39" s="4" t="s">
        <v>289</v>
      </c>
    </row>
    <row r="40" spans="1:11" ht="14.25" customHeight="1" x14ac:dyDescent="0.25">
      <c r="A40" s="4" t="s">
        <v>327</v>
      </c>
      <c r="B40" s="4" t="s">
        <v>420</v>
      </c>
      <c r="C40" s="4" t="s">
        <v>336</v>
      </c>
      <c r="D40" s="4" t="s">
        <v>337</v>
      </c>
      <c r="E40" s="4" t="s">
        <v>421</v>
      </c>
      <c r="F40" s="4">
        <v>3</v>
      </c>
      <c r="G40" s="4" t="s">
        <v>287</v>
      </c>
      <c r="H40" s="4" t="s">
        <v>2</v>
      </c>
      <c r="I40" s="4" t="s">
        <v>5</v>
      </c>
      <c r="J40" s="4">
        <v>2016</v>
      </c>
      <c r="K40" s="4" t="s">
        <v>289</v>
      </c>
    </row>
    <row r="41" spans="1:11" ht="14.25" customHeight="1" x14ac:dyDescent="0.25">
      <c r="A41" s="4" t="s">
        <v>331</v>
      </c>
      <c r="B41" s="4" t="s">
        <v>422</v>
      </c>
      <c r="C41" s="4" t="s">
        <v>423</v>
      </c>
      <c r="D41" s="4" t="s">
        <v>424</v>
      </c>
      <c r="E41" s="4" t="s">
        <v>425</v>
      </c>
      <c r="F41" s="4">
        <v>16.28</v>
      </c>
      <c r="G41" s="4" t="s">
        <v>334</v>
      </c>
      <c r="H41" s="4" t="s">
        <v>2</v>
      </c>
      <c r="I41" s="4" t="s">
        <v>5</v>
      </c>
      <c r="J41" s="4">
        <v>2016</v>
      </c>
      <c r="K41" s="4" t="s">
        <v>289</v>
      </c>
    </row>
    <row r="42" spans="1:11" ht="14.25" customHeight="1" x14ac:dyDescent="0.25">
      <c r="A42" s="4" t="s">
        <v>331</v>
      </c>
      <c r="B42" s="4" t="s">
        <v>426</v>
      </c>
      <c r="C42" s="4" t="s">
        <v>427</v>
      </c>
      <c r="D42" s="4" t="s">
        <v>428</v>
      </c>
      <c r="E42" s="4" t="s">
        <v>429</v>
      </c>
      <c r="F42" s="4">
        <v>6.3</v>
      </c>
      <c r="G42" s="4" t="s">
        <v>334</v>
      </c>
      <c r="H42" s="4" t="s">
        <v>2</v>
      </c>
      <c r="I42" s="4" t="s">
        <v>5</v>
      </c>
      <c r="J42" s="4">
        <v>2016</v>
      </c>
      <c r="K42" s="4" t="s">
        <v>289</v>
      </c>
    </row>
    <row r="43" spans="1:11" ht="14.25" customHeight="1" x14ac:dyDescent="0.25">
      <c r="A43" s="4" t="s">
        <v>331</v>
      </c>
      <c r="B43" s="4" t="s">
        <v>430</v>
      </c>
      <c r="C43" s="4" t="s">
        <v>431</v>
      </c>
      <c r="D43" s="4" t="s">
        <v>432</v>
      </c>
      <c r="E43" s="4" t="s">
        <v>433</v>
      </c>
      <c r="F43" s="4">
        <v>17.399999999999999</v>
      </c>
      <c r="G43" s="4" t="s">
        <v>334</v>
      </c>
      <c r="H43" s="4" t="s">
        <v>2</v>
      </c>
      <c r="I43" s="4" t="s">
        <v>5</v>
      </c>
      <c r="J43" s="4">
        <v>2016</v>
      </c>
      <c r="K43" s="4" t="s">
        <v>289</v>
      </c>
    </row>
    <row r="44" spans="1:11" ht="14.25" customHeight="1" x14ac:dyDescent="0.25">
      <c r="A44" s="4" t="s">
        <v>331</v>
      </c>
      <c r="B44" s="4" t="s">
        <v>434</v>
      </c>
      <c r="C44" s="4" t="s">
        <v>435</v>
      </c>
      <c r="D44" s="4" t="s">
        <v>436</v>
      </c>
      <c r="E44" s="4" t="s">
        <v>437</v>
      </c>
      <c r="F44" s="4">
        <v>12.4</v>
      </c>
      <c r="G44" s="4" t="s">
        <v>334</v>
      </c>
      <c r="H44" s="4" t="s">
        <v>2</v>
      </c>
      <c r="I44" s="4" t="s">
        <v>5</v>
      </c>
      <c r="J44" s="4">
        <v>2016</v>
      </c>
      <c r="K44" s="4" t="s">
        <v>289</v>
      </c>
    </row>
    <row r="45" spans="1:11" ht="14.25" customHeight="1" x14ac:dyDescent="0.25">
      <c r="A45" s="4" t="s">
        <v>331</v>
      </c>
      <c r="B45" s="4" t="s">
        <v>438</v>
      </c>
      <c r="C45" s="4" t="s">
        <v>427</v>
      </c>
      <c r="D45" s="4" t="s">
        <v>428</v>
      </c>
      <c r="E45" s="4" t="s">
        <v>439</v>
      </c>
      <c r="F45" s="4">
        <v>17.7</v>
      </c>
      <c r="G45" s="4" t="s">
        <v>334</v>
      </c>
      <c r="H45" s="4" t="s">
        <v>2</v>
      </c>
      <c r="I45" s="4" t="s">
        <v>5</v>
      </c>
      <c r="J45" s="4">
        <v>2016</v>
      </c>
      <c r="K45" s="4" t="s">
        <v>289</v>
      </c>
    </row>
    <row r="46" spans="1:11" ht="14.25" customHeight="1" x14ac:dyDescent="0.25">
      <c r="A46" s="4" t="s">
        <v>331</v>
      </c>
      <c r="B46" s="4" t="s">
        <v>440</v>
      </c>
      <c r="C46" s="4" t="s">
        <v>319</v>
      </c>
      <c r="D46" s="4" t="s">
        <v>320</v>
      </c>
      <c r="E46" s="4" t="s">
        <v>441</v>
      </c>
      <c r="F46" s="4">
        <v>5.8</v>
      </c>
      <c r="G46" s="4" t="s">
        <v>334</v>
      </c>
      <c r="H46" s="4" t="s">
        <v>2</v>
      </c>
      <c r="I46" s="4" t="s">
        <v>5</v>
      </c>
      <c r="J46" s="4">
        <v>2016</v>
      </c>
      <c r="K46" s="4" t="s">
        <v>289</v>
      </c>
    </row>
    <row r="47" spans="1:11" ht="14.25" customHeight="1" x14ac:dyDescent="0.25">
      <c r="A47" s="4" t="s">
        <v>249</v>
      </c>
      <c r="B47" s="4" t="s">
        <v>442</v>
      </c>
      <c r="C47" s="4" t="s">
        <v>295</v>
      </c>
      <c r="D47" s="4" t="s">
        <v>296</v>
      </c>
      <c r="E47" s="4" t="s">
        <v>443</v>
      </c>
      <c r="F47" s="4">
        <v>3.54</v>
      </c>
      <c r="G47" s="4" t="s">
        <v>287</v>
      </c>
      <c r="H47" s="4" t="s">
        <v>5</v>
      </c>
      <c r="I47" s="4" t="s">
        <v>2</v>
      </c>
      <c r="J47" s="4">
        <v>2016</v>
      </c>
      <c r="K47" s="4" t="s">
        <v>289</v>
      </c>
    </row>
    <row r="48" spans="1:11" ht="14.25" customHeight="1" x14ac:dyDescent="0.25">
      <c r="A48" s="4" t="s">
        <v>247</v>
      </c>
      <c r="B48" s="4" t="s">
        <v>444</v>
      </c>
      <c r="C48" s="4" t="s">
        <v>431</v>
      </c>
      <c r="D48" s="4" t="s">
        <v>432</v>
      </c>
      <c r="E48" s="4" t="s">
        <v>445</v>
      </c>
      <c r="F48" s="4">
        <v>13.7</v>
      </c>
      <c r="G48" s="4" t="s">
        <v>287</v>
      </c>
      <c r="H48" s="4" t="s">
        <v>5</v>
      </c>
      <c r="I48" s="4" t="s">
        <v>2</v>
      </c>
      <c r="J48" s="4">
        <v>2016</v>
      </c>
      <c r="K48" s="4" t="s">
        <v>289</v>
      </c>
    </row>
    <row r="49" spans="1:11" ht="14.25" customHeight="1" x14ac:dyDescent="0.25">
      <c r="A49" s="4" t="s">
        <v>247</v>
      </c>
      <c r="B49" s="4" t="s">
        <v>446</v>
      </c>
      <c r="C49" s="4" t="s">
        <v>447</v>
      </c>
      <c r="D49" s="4" t="s">
        <v>448</v>
      </c>
      <c r="E49" s="4" t="s">
        <v>449</v>
      </c>
      <c r="F49" s="4">
        <v>3.1</v>
      </c>
      <c r="G49" s="4" t="s">
        <v>287</v>
      </c>
      <c r="H49" s="4" t="s">
        <v>5</v>
      </c>
      <c r="I49" s="4" t="s">
        <v>2</v>
      </c>
      <c r="J49" s="4">
        <v>2016</v>
      </c>
      <c r="K49" s="4" t="s">
        <v>289</v>
      </c>
    </row>
    <row r="50" spans="1:11" ht="14.25" customHeight="1" x14ac:dyDescent="0.25">
      <c r="A50" s="4" t="s">
        <v>250</v>
      </c>
      <c r="B50" s="4" t="s">
        <v>450</v>
      </c>
      <c r="C50" s="4" t="s">
        <v>336</v>
      </c>
      <c r="D50" s="4" t="s">
        <v>337</v>
      </c>
      <c r="E50" s="4" t="s">
        <v>451</v>
      </c>
      <c r="F50" s="4">
        <v>26</v>
      </c>
      <c r="G50" s="4" t="s">
        <v>287</v>
      </c>
      <c r="H50" s="4" t="s">
        <v>5</v>
      </c>
      <c r="I50" s="4" t="s">
        <v>2</v>
      </c>
      <c r="J50" s="4">
        <v>2016</v>
      </c>
      <c r="K50" s="4" t="s">
        <v>289</v>
      </c>
    </row>
    <row r="51" spans="1:11" ht="14.25" customHeight="1" x14ac:dyDescent="0.25">
      <c r="A51" s="4" t="s">
        <v>250</v>
      </c>
      <c r="B51" s="4" t="s">
        <v>452</v>
      </c>
      <c r="C51" s="4" t="s">
        <v>395</v>
      </c>
      <c r="D51" s="4" t="s">
        <v>396</v>
      </c>
      <c r="E51" s="4" t="s">
        <v>453</v>
      </c>
      <c r="F51" s="4">
        <v>29.4</v>
      </c>
      <c r="G51" s="4" t="s">
        <v>287</v>
      </c>
      <c r="H51" s="4" t="s">
        <v>5</v>
      </c>
      <c r="I51" s="4" t="s">
        <v>2</v>
      </c>
      <c r="J51" s="4">
        <v>2016</v>
      </c>
      <c r="K51" s="4" t="s">
        <v>289</v>
      </c>
    </row>
    <row r="52" spans="1:11" ht="14.25" customHeight="1" x14ac:dyDescent="0.25">
      <c r="A52" s="4" t="s">
        <v>251</v>
      </c>
      <c r="B52" s="4" t="s">
        <v>454</v>
      </c>
      <c r="C52" s="4" t="s">
        <v>431</v>
      </c>
      <c r="D52" s="4" t="s">
        <v>432</v>
      </c>
      <c r="E52" s="4" t="s">
        <v>455</v>
      </c>
      <c r="F52" s="4">
        <v>5.8</v>
      </c>
      <c r="G52" s="4" t="s">
        <v>287</v>
      </c>
      <c r="H52" s="4" t="s">
        <v>5</v>
      </c>
      <c r="I52" s="4" t="s">
        <v>2</v>
      </c>
      <c r="J52" s="4">
        <v>2016</v>
      </c>
      <c r="K52" s="4" t="s">
        <v>289</v>
      </c>
    </row>
    <row r="53" spans="1:11" ht="14.25" customHeight="1" x14ac:dyDescent="0.25">
      <c r="A53" s="4" t="s">
        <v>317</v>
      </c>
      <c r="B53" s="4" t="s">
        <v>456</v>
      </c>
      <c r="C53" s="4" t="s">
        <v>395</v>
      </c>
      <c r="D53" s="4" t="s">
        <v>396</v>
      </c>
      <c r="E53" s="4" t="s">
        <v>457</v>
      </c>
      <c r="F53" s="4">
        <v>8.6999999999999993</v>
      </c>
      <c r="G53" s="4" t="s">
        <v>287</v>
      </c>
      <c r="H53" s="4" t="s">
        <v>5</v>
      </c>
      <c r="I53" s="4" t="s">
        <v>2</v>
      </c>
      <c r="J53" s="4">
        <v>2016</v>
      </c>
      <c r="K53" s="4" t="s">
        <v>289</v>
      </c>
    </row>
    <row r="54" spans="1:11" ht="14.25" customHeight="1" x14ac:dyDescent="0.25">
      <c r="A54" s="4" t="s">
        <v>323</v>
      </c>
      <c r="B54" s="4" t="s">
        <v>458</v>
      </c>
      <c r="C54" s="4" t="s">
        <v>435</v>
      </c>
      <c r="D54" s="4" t="s">
        <v>436</v>
      </c>
      <c r="E54" s="4" t="s">
        <v>459</v>
      </c>
      <c r="F54" s="4">
        <v>11</v>
      </c>
      <c r="G54" s="4" t="s">
        <v>287</v>
      </c>
      <c r="H54" s="4" t="s">
        <v>5</v>
      </c>
      <c r="I54" s="4" t="s">
        <v>2</v>
      </c>
      <c r="J54" s="4">
        <v>2016</v>
      </c>
      <c r="K54" s="4" t="s">
        <v>289</v>
      </c>
    </row>
    <row r="55" spans="1:11" ht="14.25" customHeight="1" x14ac:dyDescent="0.25">
      <c r="A55" s="4" t="s">
        <v>327</v>
      </c>
      <c r="B55" s="4" t="s">
        <v>460</v>
      </c>
      <c r="C55" s="4" t="s">
        <v>340</v>
      </c>
      <c r="D55" s="4" t="s">
        <v>341</v>
      </c>
      <c r="E55" s="4" t="s">
        <v>461</v>
      </c>
      <c r="F55" s="4">
        <v>8</v>
      </c>
      <c r="G55" s="4" t="s">
        <v>287</v>
      </c>
      <c r="H55" s="4" t="s">
        <v>5</v>
      </c>
      <c r="I55" s="4" t="s">
        <v>2</v>
      </c>
      <c r="J55" s="4">
        <v>2016</v>
      </c>
      <c r="K55" s="4" t="s">
        <v>289</v>
      </c>
    </row>
    <row r="56" spans="1:11" ht="14.25" customHeight="1" x14ac:dyDescent="0.25">
      <c r="A56" s="4" t="s">
        <v>331</v>
      </c>
      <c r="B56" s="4" t="s">
        <v>462</v>
      </c>
      <c r="C56" s="4" t="s">
        <v>356</v>
      </c>
      <c r="D56" s="4" t="s">
        <v>357</v>
      </c>
      <c r="E56" s="4" t="s">
        <v>463</v>
      </c>
      <c r="F56" s="4">
        <v>4.8</v>
      </c>
      <c r="G56" s="4" t="s">
        <v>334</v>
      </c>
      <c r="H56" s="4" t="s">
        <v>5</v>
      </c>
      <c r="I56" s="4" t="s">
        <v>2</v>
      </c>
      <c r="J56" s="4">
        <v>2016</v>
      </c>
      <c r="K56" s="4" t="s">
        <v>289</v>
      </c>
    </row>
    <row r="57" spans="1:11" ht="14.25" customHeight="1" x14ac:dyDescent="0.25">
      <c r="A57" s="4" t="s">
        <v>331</v>
      </c>
      <c r="B57" s="4" t="s">
        <v>464</v>
      </c>
      <c r="C57" s="4" t="s">
        <v>291</v>
      </c>
      <c r="D57" s="4" t="s">
        <v>292</v>
      </c>
      <c r="E57" s="4" t="s">
        <v>465</v>
      </c>
      <c r="F57" s="4">
        <v>7.3</v>
      </c>
      <c r="G57" s="4" t="s">
        <v>334</v>
      </c>
      <c r="H57" s="4" t="s">
        <v>5</v>
      </c>
      <c r="I57" s="4" t="s">
        <v>2</v>
      </c>
      <c r="J57" s="4">
        <v>2016</v>
      </c>
      <c r="K57" s="4" t="s">
        <v>289</v>
      </c>
    </row>
    <row r="58" spans="1:11" ht="14.25" customHeight="1" x14ac:dyDescent="0.25">
      <c r="A58" s="4" t="s">
        <v>331</v>
      </c>
      <c r="B58" s="4" t="s">
        <v>466</v>
      </c>
      <c r="C58" s="4" t="s">
        <v>427</v>
      </c>
      <c r="D58" s="4" t="s">
        <v>428</v>
      </c>
      <c r="E58" s="4" t="s">
        <v>467</v>
      </c>
      <c r="F58" s="4">
        <v>13.62</v>
      </c>
      <c r="G58" s="4" t="s">
        <v>334</v>
      </c>
      <c r="H58" s="4" t="s">
        <v>5</v>
      </c>
      <c r="I58" s="4" t="s">
        <v>2</v>
      </c>
      <c r="J58" s="4">
        <v>2016</v>
      </c>
      <c r="K58" s="4" t="s">
        <v>289</v>
      </c>
    </row>
    <row r="59" spans="1:11" ht="14.25" customHeight="1" x14ac:dyDescent="0.25">
      <c r="A59" s="4" t="s">
        <v>331</v>
      </c>
      <c r="B59" s="4" t="s">
        <v>468</v>
      </c>
      <c r="C59" s="4" t="s">
        <v>469</v>
      </c>
      <c r="D59" s="4" t="s">
        <v>470</v>
      </c>
      <c r="E59" s="4" t="s">
        <v>471</v>
      </c>
      <c r="F59" s="4">
        <v>8.5</v>
      </c>
      <c r="G59" s="4" t="s">
        <v>334</v>
      </c>
      <c r="H59" s="4" t="s">
        <v>5</v>
      </c>
      <c r="I59" s="4" t="s">
        <v>2</v>
      </c>
      <c r="J59" s="4">
        <v>2016</v>
      </c>
      <c r="K59" s="4" t="s">
        <v>289</v>
      </c>
    </row>
    <row r="60" spans="1:11" ht="14.25" customHeight="1" x14ac:dyDescent="0.25">
      <c r="A60" s="4" t="s">
        <v>331</v>
      </c>
      <c r="B60" s="4" t="s">
        <v>472</v>
      </c>
      <c r="C60" s="4" t="s">
        <v>291</v>
      </c>
      <c r="D60" s="4" t="s">
        <v>292</v>
      </c>
      <c r="E60" s="4" t="s">
        <v>473</v>
      </c>
      <c r="F60" s="4">
        <v>15.1</v>
      </c>
      <c r="G60" s="4" t="s">
        <v>334</v>
      </c>
      <c r="H60" s="4" t="s">
        <v>5</v>
      </c>
      <c r="I60" s="4" t="s">
        <v>2</v>
      </c>
      <c r="J60" s="4">
        <v>2016</v>
      </c>
      <c r="K60" s="4" t="s">
        <v>289</v>
      </c>
    </row>
    <row r="61" spans="1:11" ht="14.25" customHeight="1" x14ac:dyDescent="0.25">
      <c r="A61" s="4" t="s">
        <v>331</v>
      </c>
      <c r="B61" s="4" t="s">
        <v>474</v>
      </c>
      <c r="C61" s="4" t="s">
        <v>378</v>
      </c>
      <c r="D61" s="4" t="s">
        <v>379</v>
      </c>
      <c r="E61" s="4" t="s">
        <v>475</v>
      </c>
      <c r="F61" s="4">
        <v>5</v>
      </c>
      <c r="G61" s="4" t="s">
        <v>334</v>
      </c>
      <c r="H61" s="4" t="s">
        <v>5</v>
      </c>
      <c r="I61" s="4" t="s">
        <v>2</v>
      </c>
      <c r="J61" s="4">
        <v>2016</v>
      </c>
      <c r="K61" s="4" t="s">
        <v>289</v>
      </c>
    </row>
    <row r="62" spans="1:11" ht="14.25" customHeight="1" x14ac:dyDescent="0.25"/>
    <row r="63" spans="1:11" ht="14.25" customHeight="1" x14ac:dyDescent="0.25"/>
    <row r="64" spans="1:11" ht="14.25" customHeight="1" x14ac:dyDescent="0.25"/>
    <row r="65" ht="14.25" customHeight="1" x14ac:dyDescent="0.25"/>
    <row r="66" ht="14.25" customHeight="1" x14ac:dyDescent="0.25"/>
    <row r="67" ht="14.25" customHeight="1" x14ac:dyDescent="0.25"/>
    <row r="68" ht="14.25" customHeight="1" x14ac:dyDescent="0.25"/>
    <row r="69" ht="14.25" customHeight="1" x14ac:dyDescent="0.25"/>
    <row r="70" ht="14.25" customHeight="1" x14ac:dyDescent="0.25"/>
    <row r="71" ht="14.25" customHeight="1" x14ac:dyDescent="0.25"/>
    <row r="72" ht="14.25" customHeight="1" x14ac:dyDescent="0.25"/>
    <row r="73" ht="14.25" customHeight="1" x14ac:dyDescent="0.25"/>
    <row r="74" ht="14.25" customHeight="1" x14ac:dyDescent="0.25"/>
    <row r="75" ht="14.25" customHeight="1" x14ac:dyDescent="0.25"/>
    <row r="76" ht="14.25" customHeight="1" x14ac:dyDescent="0.25"/>
    <row r="77" ht="14.25" customHeight="1" x14ac:dyDescent="0.25"/>
    <row r="78" ht="14.25" customHeight="1" x14ac:dyDescent="0.25"/>
    <row r="79" ht="14.25" customHeight="1" x14ac:dyDescent="0.25"/>
    <row r="80" ht="14.25" customHeight="1" x14ac:dyDescent="0.25"/>
    <row r="81" ht="14.25" customHeight="1" x14ac:dyDescent="0.25"/>
    <row r="82" ht="14.25" customHeight="1" x14ac:dyDescent="0.25"/>
    <row r="83" ht="14.25" customHeight="1" x14ac:dyDescent="0.25"/>
    <row r="84" ht="14.25" customHeight="1" x14ac:dyDescent="0.25"/>
    <row r="85" ht="14.25" customHeight="1" x14ac:dyDescent="0.25"/>
    <row r="86" ht="14.25" customHeight="1" x14ac:dyDescent="0.25"/>
    <row r="87" ht="14.25" customHeight="1" x14ac:dyDescent="0.25"/>
    <row r="88" ht="14.25" customHeight="1" x14ac:dyDescent="0.25"/>
    <row r="89" ht="14.25" customHeight="1" x14ac:dyDescent="0.25"/>
    <row r="90" ht="14.25" customHeight="1" x14ac:dyDescent="0.25"/>
    <row r="91" ht="14.25" customHeight="1" x14ac:dyDescent="0.25"/>
    <row r="92" ht="14.25" customHeight="1" x14ac:dyDescent="0.25"/>
    <row r="93" ht="14.25" customHeight="1" x14ac:dyDescent="0.25"/>
    <row r="94" ht="14.25" customHeight="1" x14ac:dyDescent="0.25"/>
    <row r="95" ht="14.25" customHeight="1" x14ac:dyDescent="0.25"/>
    <row r="96" ht="14.25" customHeight="1" x14ac:dyDescent="0.25"/>
    <row r="97" ht="14.25" customHeight="1" x14ac:dyDescent="0.25"/>
    <row r="98" ht="14.25" customHeight="1" x14ac:dyDescent="0.25"/>
    <row r="99" ht="14.25" customHeight="1" x14ac:dyDescent="0.25"/>
    <row r="100" ht="14.25" customHeight="1" x14ac:dyDescent="0.25"/>
    <row r="101" ht="14.25" customHeight="1" x14ac:dyDescent="0.25"/>
    <row r="102" ht="14.25" customHeight="1" x14ac:dyDescent="0.25"/>
    <row r="103" ht="14.25" customHeight="1" x14ac:dyDescent="0.25"/>
    <row r="104" ht="14.25" customHeight="1" x14ac:dyDescent="0.25"/>
    <row r="105" ht="14.25" customHeight="1" x14ac:dyDescent="0.25"/>
    <row r="106" ht="14.25" customHeight="1" x14ac:dyDescent="0.25"/>
    <row r="107" ht="14.25" customHeight="1" x14ac:dyDescent="0.25"/>
    <row r="108" ht="14.25" customHeight="1" x14ac:dyDescent="0.25"/>
    <row r="109" ht="14.25" customHeight="1" x14ac:dyDescent="0.25"/>
    <row r="110" ht="14.25" customHeight="1" x14ac:dyDescent="0.25"/>
    <row r="111" ht="14.25" customHeight="1" x14ac:dyDescent="0.25"/>
    <row r="112" ht="14.25" customHeight="1" x14ac:dyDescent="0.25"/>
    <row r="113" ht="14.25" customHeight="1" x14ac:dyDescent="0.25"/>
    <row r="114" ht="14.25" customHeight="1" x14ac:dyDescent="0.25"/>
    <row r="115" ht="14.25" customHeight="1" x14ac:dyDescent="0.25"/>
    <row r="116" ht="14.25" customHeight="1" x14ac:dyDescent="0.25"/>
    <row r="117" ht="14.25" customHeight="1" x14ac:dyDescent="0.25"/>
    <row r="118" ht="14.25" customHeight="1" x14ac:dyDescent="0.25"/>
    <row r="119" ht="14.25" customHeight="1" x14ac:dyDescent="0.25"/>
    <row r="120" ht="14.25" customHeight="1" x14ac:dyDescent="0.25"/>
    <row r="121" ht="14.25" customHeight="1" x14ac:dyDescent="0.25"/>
    <row r="122" ht="14.25" customHeight="1" x14ac:dyDescent="0.25"/>
    <row r="123" ht="14.25" customHeight="1" x14ac:dyDescent="0.25"/>
    <row r="124" ht="14.25" customHeight="1" x14ac:dyDescent="0.25"/>
    <row r="125" ht="14.25" customHeight="1" x14ac:dyDescent="0.25"/>
    <row r="126" ht="14.25" customHeight="1" x14ac:dyDescent="0.25"/>
    <row r="127" ht="14.25" customHeight="1" x14ac:dyDescent="0.25"/>
    <row r="128" ht="14.25" customHeight="1" x14ac:dyDescent="0.25"/>
    <row r="129" ht="14.25" customHeight="1" x14ac:dyDescent="0.25"/>
    <row r="130" ht="14.25" customHeight="1" x14ac:dyDescent="0.25"/>
    <row r="131" ht="14.25" customHeight="1" x14ac:dyDescent="0.25"/>
    <row r="132" ht="14.25" customHeight="1" x14ac:dyDescent="0.25"/>
    <row r="133" ht="14.25" customHeight="1" x14ac:dyDescent="0.25"/>
    <row r="134" ht="14.25" customHeight="1" x14ac:dyDescent="0.25"/>
    <row r="135" ht="14.25" customHeight="1" x14ac:dyDescent="0.25"/>
    <row r="136" ht="14.25" customHeight="1" x14ac:dyDescent="0.25"/>
    <row r="137" ht="14.25" customHeight="1" x14ac:dyDescent="0.25"/>
    <row r="138" ht="14.25" customHeight="1" x14ac:dyDescent="0.25"/>
    <row r="139" ht="14.25" customHeight="1" x14ac:dyDescent="0.25"/>
    <row r="140" ht="14.25" customHeight="1" x14ac:dyDescent="0.25"/>
    <row r="141" ht="14.25" customHeight="1" x14ac:dyDescent="0.25"/>
    <row r="142" ht="14.25" customHeight="1" x14ac:dyDescent="0.25"/>
    <row r="143" ht="14.25" customHeight="1" x14ac:dyDescent="0.25"/>
    <row r="144" ht="14.25" customHeight="1" x14ac:dyDescent="0.25"/>
    <row r="145" ht="14.25" customHeight="1" x14ac:dyDescent="0.25"/>
    <row r="146" ht="14.25" customHeight="1" x14ac:dyDescent="0.25"/>
    <row r="147" ht="14.25" customHeight="1" x14ac:dyDescent="0.25"/>
    <row r="148" ht="14.25" customHeight="1" x14ac:dyDescent="0.25"/>
    <row r="149" ht="14.25" customHeight="1" x14ac:dyDescent="0.25"/>
    <row r="150" ht="14.25" customHeight="1" x14ac:dyDescent="0.25"/>
    <row r="151" ht="14.25" customHeight="1" x14ac:dyDescent="0.25"/>
    <row r="152" ht="14.25" customHeight="1" x14ac:dyDescent="0.25"/>
    <row r="153" ht="14.25" customHeight="1" x14ac:dyDescent="0.25"/>
    <row r="154" ht="14.25" customHeight="1" x14ac:dyDescent="0.25"/>
    <row r="155" ht="14.25" customHeight="1" x14ac:dyDescent="0.25"/>
    <row r="156" ht="14.25" customHeight="1" x14ac:dyDescent="0.25"/>
    <row r="157" ht="14.25" customHeight="1" x14ac:dyDescent="0.25"/>
    <row r="158" ht="14.25" customHeight="1" x14ac:dyDescent="0.25"/>
    <row r="159" ht="14.25" customHeight="1" x14ac:dyDescent="0.25"/>
    <row r="160" ht="14.25" customHeight="1" x14ac:dyDescent="0.25"/>
    <row r="161" ht="14.25" customHeight="1" x14ac:dyDescent="0.25"/>
    <row r="162" ht="14.25" customHeight="1" x14ac:dyDescent="0.25"/>
    <row r="163" ht="14.25" customHeight="1" x14ac:dyDescent="0.25"/>
    <row r="164" ht="14.25" customHeight="1" x14ac:dyDescent="0.25"/>
    <row r="165" ht="14.25" customHeight="1" x14ac:dyDescent="0.25"/>
    <row r="166" ht="14.25" customHeight="1" x14ac:dyDescent="0.25"/>
    <row r="167" ht="14.25" customHeight="1" x14ac:dyDescent="0.25"/>
    <row r="168" ht="14.25" customHeight="1" x14ac:dyDescent="0.25"/>
    <row r="169" ht="14.25" customHeight="1" x14ac:dyDescent="0.25"/>
    <row r="170" ht="14.25" customHeight="1" x14ac:dyDescent="0.25"/>
    <row r="171" ht="14.25" customHeight="1" x14ac:dyDescent="0.25"/>
    <row r="172" ht="14.25" customHeight="1" x14ac:dyDescent="0.25"/>
    <row r="173" ht="14.25" customHeight="1" x14ac:dyDescent="0.25"/>
    <row r="174" ht="14.25" customHeight="1" x14ac:dyDescent="0.25"/>
    <row r="175" ht="14.25" customHeight="1" x14ac:dyDescent="0.25"/>
    <row r="176" ht="14.25" customHeight="1" x14ac:dyDescent="0.25"/>
    <row r="177" ht="14.25" customHeight="1" x14ac:dyDescent="0.25"/>
    <row r="178" ht="14.25" customHeight="1" x14ac:dyDescent="0.25"/>
    <row r="179" ht="14.25" customHeight="1" x14ac:dyDescent="0.25"/>
    <row r="180" ht="14.25" customHeight="1" x14ac:dyDescent="0.25"/>
    <row r="181" ht="14.25" customHeight="1" x14ac:dyDescent="0.25"/>
    <row r="182" ht="14.25" customHeight="1" x14ac:dyDescent="0.25"/>
    <row r="183" ht="14.25" customHeight="1" x14ac:dyDescent="0.25"/>
    <row r="184" ht="14.25" customHeight="1" x14ac:dyDescent="0.25"/>
    <row r="185" ht="14.25" customHeight="1" x14ac:dyDescent="0.25"/>
    <row r="186" ht="14.25" customHeight="1" x14ac:dyDescent="0.25"/>
    <row r="187" ht="14.25" customHeight="1" x14ac:dyDescent="0.25"/>
    <row r="188" ht="14.25" customHeight="1" x14ac:dyDescent="0.25"/>
    <row r="189" ht="14.25" customHeight="1" x14ac:dyDescent="0.25"/>
    <row r="190" ht="14.25" customHeight="1" x14ac:dyDescent="0.25"/>
    <row r="191" ht="14.25" customHeight="1" x14ac:dyDescent="0.25"/>
    <row r="192" ht="14.25" customHeight="1" x14ac:dyDescent="0.25"/>
    <row r="193" ht="14.25" customHeight="1" x14ac:dyDescent="0.25"/>
    <row r="194" ht="14.25" customHeight="1" x14ac:dyDescent="0.25"/>
    <row r="195" ht="14.25" customHeight="1" x14ac:dyDescent="0.25"/>
    <row r="196" ht="14.25" customHeight="1" x14ac:dyDescent="0.25"/>
    <row r="197" ht="14.25" customHeight="1" x14ac:dyDescent="0.25"/>
    <row r="198" ht="14.25" customHeight="1" x14ac:dyDescent="0.25"/>
    <row r="199" ht="14.25" customHeight="1" x14ac:dyDescent="0.25"/>
    <row r="200" ht="14.25" customHeight="1" x14ac:dyDescent="0.25"/>
    <row r="201" ht="14.25" customHeight="1" x14ac:dyDescent="0.25"/>
    <row r="202" ht="14.25" customHeight="1" x14ac:dyDescent="0.25"/>
    <row r="203" ht="14.25" customHeight="1" x14ac:dyDescent="0.25"/>
    <row r="204" ht="14.25" customHeight="1" x14ac:dyDescent="0.25"/>
    <row r="205" ht="14.25" customHeight="1" x14ac:dyDescent="0.25"/>
    <row r="206" ht="14.25" customHeight="1" x14ac:dyDescent="0.25"/>
    <row r="207" ht="14.25" customHeight="1" x14ac:dyDescent="0.25"/>
    <row r="208" ht="14.25" customHeight="1" x14ac:dyDescent="0.25"/>
    <row r="209" ht="14.25" customHeight="1" x14ac:dyDescent="0.25"/>
    <row r="210" ht="14.25" customHeight="1" x14ac:dyDescent="0.25"/>
    <row r="211" ht="14.25" customHeight="1" x14ac:dyDescent="0.25"/>
    <row r="212" ht="14.25" customHeight="1" x14ac:dyDescent="0.25"/>
    <row r="213" ht="14.25" customHeight="1" x14ac:dyDescent="0.25"/>
    <row r="214" ht="14.25" customHeight="1" x14ac:dyDescent="0.25"/>
    <row r="215" ht="14.25" customHeight="1" x14ac:dyDescent="0.25"/>
    <row r="216" ht="14.25" customHeight="1" x14ac:dyDescent="0.25"/>
    <row r="217" ht="14.25" customHeight="1" x14ac:dyDescent="0.25"/>
    <row r="218" ht="14.25" customHeight="1" x14ac:dyDescent="0.25"/>
    <row r="219" ht="14.25" customHeight="1" x14ac:dyDescent="0.25"/>
    <row r="220" ht="14.25" customHeight="1" x14ac:dyDescent="0.25"/>
    <row r="221" ht="14.25" customHeight="1" x14ac:dyDescent="0.25"/>
    <row r="222" ht="14.25" customHeight="1" x14ac:dyDescent="0.25"/>
    <row r="223" ht="14.25" customHeight="1" x14ac:dyDescent="0.25"/>
    <row r="224" ht="14.25" customHeight="1" x14ac:dyDescent="0.25"/>
    <row r="225" ht="14.25" customHeight="1" x14ac:dyDescent="0.25"/>
    <row r="226" ht="14.25" customHeight="1" x14ac:dyDescent="0.25"/>
    <row r="227" ht="14.25" customHeight="1" x14ac:dyDescent="0.25"/>
    <row r="228" ht="14.25" customHeight="1" x14ac:dyDescent="0.25"/>
    <row r="229" ht="14.25" customHeight="1" x14ac:dyDescent="0.25"/>
    <row r="230" ht="14.25" customHeight="1" x14ac:dyDescent="0.25"/>
    <row r="231" ht="14.25" customHeight="1" x14ac:dyDescent="0.25"/>
    <row r="232" ht="14.25" customHeight="1" x14ac:dyDescent="0.25"/>
    <row r="233" ht="14.25" customHeight="1" x14ac:dyDescent="0.25"/>
    <row r="234" ht="14.25" customHeight="1" x14ac:dyDescent="0.25"/>
    <row r="235" ht="14.25" customHeight="1" x14ac:dyDescent="0.25"/>
    <row r="236" ht="14.25" customHeight="1" x14ac:dyDescent="0.25"/>
    <row r="237" ht="14.25" customHeight="1" x14ac:dyDescent="0.25"/>
    <row r="238" ht="14.25" customHeight="1" x14ac:dyDescent="0.25"/>
    <row r="239" ht="14.25" customHeight="1" x14ac:dyDescent="0.25"/>
    <row r="240" ht="14.25" customHeight="1" x14ac:dyDescent="0.25"/>
    <row r="241" ht="14.25" customHeight="1" x14ac:dyDescent="0.25"/>
    <row r="242" ht="14.25" customHeight="1" x14ac:dyDescent="0.25"/>
    <row r="243" ht="14.25" customHeight="1" x14ac:dyDescent="0.25"/>
    <row r="244" ht="14.25" customHeight="1" x14ac:dyDescent="0.25"/>
    <row r="245" ht="14.25" customHeight="1" x14ac:dyDescent="0.25"/>
    <row r="246" ht="14.25" customHeight="1" x14ac:dyDescent="0.25"/>
    <row r="247" ht="14.25" customHeight="1" x14ac:dyDescent="0.25"/>
    <row r="248" ht="14.25" customHeight="1" x14ac:dyDescent="0.25"/>
    <row r="249" ht="14.25" customHeight="1" x14ac:dyDescent="0.25"/>
    <row r="250" ht="14.25" customHeight="1" x14ac:dyDescent="0.25"/>
    <row r="251" ht="14.25" customHeight="1" x14ac:dyDescent="0.25"/>
    <row r="252" ht="14.25" customHeight="1" x14ac:dyDescent="0.25"/>
    <row r="253" ht="14.25" customHeight="1" x14ac:dyDescent="0.25"/>
    <row r="254" ht="14.25" customHeight="1" x14ac:dyDescent="0.25"/>
    <row r="255" ht="14.25" customHeight="1" x14ac:dyDescent="0.25"/>
    <row r="256" ht="14.25" customHeight="1" x14ac:dyDescent="0.25"/>
    <row r="257" ht="14.25" customHeight="1" x14ac:dyDescent="0.25"/>
    <row r="258" ht="14.25" customHeight="1" x14ac:dyDescent="0.25"/>
    <row r="259" ht="14.25" customHeight="1" x14ac:dyDescent="0.25"/>
    <row r="260" ht="14.25" customHeight="1" x14ac:dyDescent="0.25"/>
    <row r="261" ht="14.25" customHeight="1" x14ac:dyDescent="0.25"/>
    <row r="262" ht="14.25" customHeight="1" x14ac:dyDescent="0.25"/>
    <row r="263" ht="14.25" customHeight="1" x14ac:dyDescent="0.25"/>
    <row r="264" ht="14.25" customHeight="1" x14ac:dyDescent="0.25"/>
    <row r="265" ht="14.25" customHeight="1" x14ac:dyDescent="0.25"/>
    <row r="266" ht="14.25" customHeight="1" x14ac:dyDescent="0.25"/>
    <row r="267" ht="14.25" customHeight="1" x14ac:dyDescent="0.25"/>
    <row r="268" ht="14.25" customHeight="1" x14ac:dyDescent="0.25"/>
    <row r="269" ht="14.25" customHeight="1" x14ac:dyDescent="0.25"/>
    <row r="270" ht="14.25" customHeight="1" x14ac:dyDescent="0.25"/>
    <row r="271" ht="14.25" customHeight="1" x14ac:dyDescent="0.25"/>
    <row r="272" ht="14.25" customHeight="1" x14ac:dyDescent="0.25"/>
    <row r="273" ht="14.25" customHeight="1" x14ac:dyDescent="0.25"/>
    <row r="274" ht="14.25" customHeight="1" x14ac:dyDescent="0.25"/>
    <row r="275" ht="14.25" customHeight="1" x14ac:dyDescent="0.25"/>
    <row r="276" ht="14.25" customHeight="1" x14ac:dyDescent="0.25"/>
    <row r="277" ht="14.25" customHeight="1" x14ac:dyDescent="0.25"/>
    <row r="278" ht="14.25" customHeight="1" x14ac:dyDescent="0.25"/>
    <row r="279" ht="14.25" customHeight="1" x14ac:dyDescent="0.25"/>
    <row r="280" ht="14.25" customHeight="1" x14ac:dyDescent="0.25"/>
    <row r="281" ht="14.25" customHeight="1" x14ac:dyDescent="0.25"/>
    <row r="282" ht="14.25" customHeight="1" x14ac:dyDescent="0.25"/>
    <row r="283" ht="14.25" customHeight="1" x14ac:dyDescent="0.25"/>
    <row r="284" ht="14.25" customHeight="1" x14ac:dyDescent="0.25"/>
    <row r="285" ht="14.25" customHeight="1" x14ac:dyDescent="0.25"/>
    <row r="286" ht="14.25" customHeight="1" x14ac:dyDescent="0.25"/>
    <row r="287" ht="14.25" customHeight="1" x14ac:dyDescent="0.25"/>
    <row r="288" ht="14.25" customHeight="1" x14ac:dyDescent="0.25"/>
    <row r="289" ht="14.25" customHeight="1" x14ac:dyDescent="0.25"/>
    <row r="290" ht="14.25" customHeight="1" x14ac:dyDescent="0.25"/>
    <row r="291" ht="14.25" customHeight="1" x14ac:dyDescent="0.25"/>
    <row r="292" ht="14.25" customHeight="1" x14ac:dyDescent="0.25"/>
    <row r="293" ht="14.25" customHeight="1" x14ac:dyDescent="0.25"/>
    <row r="294" ht="14.25" customHeight="1" x14ac:dyDescent="0.25"/>
    <row r="295" ht="14.25" customHeight="1" x14ac:dyDescent="0.25"/>
    <row r="296" ht="14.25" customHeight="1" x14ac:dyDescent="0.25"/>
    <row r="297" ht="14.25" customHeight="1" x14ac:dyDescent="0.25"/>
    <row r="298" ht="14.25" customHeight="1" x14ac:dyDescent="0.25"/>
    <row r="299" ht="14.25" customHeight="1" x14ac:dyDescent="0.25"/>
    <row r="300" ht="14.25" customHeight="1" x14ac:dyDescent="0.25"/>
    <row r="301" ht="14.25" customHeight="1" x14ac:dyDescent="0.25"/>
    <row r="302" ht="14.25" customHeight="1" x14ac:dyDescent="0.25"/>
    <row r="303" ht="14.25" customHeight="1" x14ac:dyDescent="0.25"/>
    <row r="304" ht="14.25" customHeight="1" x14ac:dyDescent="0.25"/>
    <row r="305" ht="14.25" customHeight="1" x14ac:dyDescent="0.25"/>
    <row r="306" ht="14.25" customHeight="1" x14ac:dyDescent="0.25"/>
    <row r="307" ht="14.25" customHeight="1" x14ac:dyDescent="0.25"/>
    <row r="308" ht="14.25" customHeight="1" x14ac:dyDescent="0.25"/>
    <row r="309" ht="14.25" customHeight="1" x14ac:dyDescent="0.25"/>
    <row r="310" ht="14.25" customHeight="1" x14ac:dyDescent="0.25"/>
    <row r="311" ht="14.25" customHeight="1" x14ac:dyDescent="0.25"/>
    <row r="312" ht="14.25" customHeight="1" x14ac:dyDescent="0.25"/>
    <row r="313" ht="14.25" customHeight="1" x14ac:dyDescent="0.25"/>
    <row r="314" ht="14.25" customHeight="1" x14ac:dyDescent="0.25"/>
    <row r="315" ht="14.25" customHeight="1" x14ac:dyDescent="0.25"/>
    <row r="316" ht="14.25" customHeight="1" x14ac:dyDescent="0.25"/>
    <row r="317" ht="14.25" customHeight="1" x14ac:dyDescent="0.25"/>
    <row r="318" ht="14.25" customHeight="1" x14ac:dyDescent="0.25"/>
    <row r="319" ht="14.25" customHeight="1" x14ac:dyDescent="0.25"/>
    <row r="320" ht="14.25" customHeight="1" x14ac:dyDescent="0.25"/>
    <row r="321" ht="14.25" customHeight="1" x14ac:dyDescent="0.25"/>
    <row r="322" ht="14.25" customHeight="1" x14ac:dyDescent="0.25"/>
    <row r="323" ht="14.25" customHeight="1" x14ac:dyDescent="0.25"/>
    <row r="324" ht="14.25" customHeight="1" x14ac:dyDescent="0.25"/>
    <row r="325" ht="14.25" customHeight="1" x14ac:dyDescent="0.25"/>
    <row r="326" ht="14.25" customHeight="1" x14ac:dyDescent="0.25"/>
    <row r="327" ht="14.25" customHeight="1" x14ac:dyDescent="0.25"/>
    <row r="328" ht="14.25" customHeight="1" x14ac:dyDescent="0.25"/>
    <row r="329" ht="14.25" customHeight="1" x14ac:dyDescent="0.25"/>
    <row r="330" ht="14.25" customHeight="1" x14ac:dyDescent="0.25"/>
    <row r="331" ht="14.25" customHeight="1" x14ac:dyDescent="0.25"/>
    <row r="332" ht="14.25" customHeight="1" x14ac:dyDescent="0.25"/>
    <row r="333" ht="14.25" customHeight="1" x14ac:dyDescent="0.25"/>
    <row r="334" ht="14.25" customHeight="1" x14ac:dyDescent="0.25"/>
    <row r="335" ht="14.25" customHeight="1" x14ac:dyDescent="0.25"/>
    <row r="336" ht="14.25" customHeight="1" x14ac:dyDescent="0.25"/>
    <row r="337" ht="14.25" customHeight="1" x14ac:dyDescent="0.25"/>
    <row r="338" ht="14.25" customHeight="1" x14ac:dyDescent="0.25"/>
    <row r="339" ht="14.25" customHeight="1" x14ac:dyDescent="0.25"/>
    <row r="340" ht="14.25" customHeight="1" x14ac:dyDescent="0.25"/>
    <row r="341" ht="14.25" customHeight="1" x14ac:dyDescent="0.25"/>
    <row r="342" ht="14.25" customHeight="1" x14ac:dyDescent="0.25"/>
    <row r="343" ht="14.25" customHeight="1" x14ac:dyDescent="0.25"/>
    <row r="344" ht="14.25" customHeight="1" x14ac:dyDescent="0.25"/>
    <row r="345" ht="14.25" customHeight="1" x14ac:dyDescent="0.25"/>
    <row r="346" ht="14.25" customHeight="1" x14ac:dyDescent="0.25"/>
    <row r="347" ht="14.25" customHeight="1" x14ac:dyDescent="0.25"/>
    <row r="348" ht="14.25" customHeight="1" x14ac:dyDescent="0.25"/>
    <row r="349" ht="14.25" customHeight="1" x14ac:dyDescent="0.25"/>
    <row r="350" ht="14.25" customHeight="1" x14ac:dyDescent="0.25"/>
    <row r="351" ht="14.25" customHeight="1" x14ac:dyDescent="0.25"/>
    <row r="352" ht="14.25" customHeight="1" x14ac:dyDescent="0.25"/>
    <row r="353" ht="14.25" customHeight="1" x14ac:dyDescent="0.25"/>
    <row r="354" ht="14.25" customHeight="1" x14ac:dyDescent="0.25"/>
    <row r="355" ht="14.25" customHeight="1" x14ac:dyDescent="0.25"/>
    <row r="356" ht="14.25" customHeight="1" x14ac:dyDescent="0.25"/>
    <row r="357" ht="14.25" customHeight="1" x14ac:dyDescent="0.25"/>
    <row r="358" ht="14.25" customHeight="1" x14ac:dyDescent="0.25"/>
    <row r="359" ht="14.25" customHeight="1" x14ac:dyDescent="0.25"/>
    <row r="360" ht="14.25" customHeight="1" x14ac:dyDescent="0.25"/>
    <row r="361" ht="14.25" customHeight="1" x14ac:dyDescent="0.25"/>
    <row r="362" ht="14.25" customHeight="1" x14ac:dyDescent="0.25"/>
    <row r="363" ht="14.25" customHeight="1" x14ac:dyDescent="0.25"/>
    <row r="364" ht="14.25" customHeight="1" x14ac:dyDescent="0.25"/>
    <row r="365" ht="14.25" customHeight="1" x14ac:dyDescent="0.25"/>
    <row r="366" ht="14.25" customHeight="1" x14ac:dyDescent="0.25"/>
    <row r="367" ht="14.25" customHeight="1" x14ac:dyDescent="0.25"/>
    <row r="368" ht="14.25" customHeight="1" x14ac:dyDescent="0.25"/>
    <row r="369" ht="14.25" customHeight="1" x14ac:dyDescent="0.25"/>
    <row r="370" ht="14.25" customHeight="1" x14ac:dyDescent="0.25"/>
    <row r="371" ht="14.25" customHeight="1" x14ac:dyDescent="0.25"/>
    <row r="372" ht="14.25" customHeight="1" x14ac:dyDescent="0.25"/>
    <row r="373" ht="14.25" customHeight="1" x14ac:dyDescent="0.25"/>
    <row r="374" ht="14.25" customHeight="1" x14ac:dyDescent="0.25"/>
    <row r="375" ht="14.25" customHeight="1" x14ac:dyDescent="0.25"/>
    <row r="376" ht="14.25" customHeight="1" x14ac:dyDescent="0.25"/>
    <row r="377" ht="14.25" customHeight="1" x14ac:dyDescent="0.25"/>
    <row r="378" ht="14.25" customHeight="1" x14ac:dyDescent="0.25"/>
    <row r="379" ht="14.25" customHeight="1" x14ac:dyDescent="0.25"/>
    <row r="380" ht="14.25" customHeight="1" x14ac:dyDescent="0.25"/>
    <row r="381" ht="14.25" customHeight="1" x14ac:dyDescent="0.25"/>
    <row r="382" ht="14.25" customHeight="1" x14ac:dyDescent="0.25"/>
    <row r="383" ht="14.25" customHeight="1" x14ac:dyDescent="0.25"/>
    <row r="384" ht="14.25" customHeight="1" x14ac:dyDescent="0.25"/>
    <row r="385" ht="14.25" customHeight="1" x14ac:dyDescent="0.25"/>
    <row r="386" ht="14.25" customHeight="1" x14ac:dyDescent="0.25"/>
    <row r="387" ht="14.25" customHeight="1" x14ac:dyDescent="0.25"/>
    <row r="388" ht="14.25" customHeight="1" x14ac:dyDescent="0.25"/>
    <row r="389" ht="14.25" customHeight="1" x14ac:dyDescent="0.25"/>
    <row r="390" ht="14.25" customHeight="1" x14ac:dyDescent="0.25"/>
    <row r="391" ht="14.25" customHeight="1" x14ac:dyDescent="0.25"/>
    <row r="392" ht="14.25" customHeight="1" x14ac:dyDescent="0.25"/>
    <row r="393" ht="14.25" customHeight="1" x14ac:dyDescent="0.25"/>
    <row r="394" ht="14.25" customHeight="1" x14ac:dyDescent="0.25"/>
    <row r="395" ht="14.25" customHeight="1" x14ac:dyDescent="0.25"/>
    <row r="396" ht="14.25" customHeight="1" x14ac:dyDescent="0.25"/>
    <row r="397" ht="14.25" customHeight="1" x14ac:dyDescent="0.25"/>
    <row r="398" ht="14.25" customHeight="1" x14ac:dyDescent="0.25"/>
    <row r="399" ht="14.25" customHeight="1" x14ac:dyDescent="0.25"/>
    <row r="400" ht="14.25" customHeight="1" x14ac:dyDescent="0.25"/>
    <row r="401" ht="14.25" customHeight="1" x14ac:dyDescent="0.25"/>
    <row r="402" ht="14.25" customHeight="1" x14ac:dyDescent="0.25"/>
    <row r="403" ht="14.25" customHeight="1" x14ac:dyDescent="0.25"/>
    <row r="404" ht="14.25" customHeight="1" x14ac:dyDescent="0.25"/>
    <row r="405" ht="14.25" customHeight="1" x14ac:dyDescent="0.25"/>
    <row r="406" ht="14.25" customHeight="1" x14ac:dyDescent="0.25"/>
    <row r="407" ht="14.25" customHeight="1" x14ac:dyDescent="0.25"/>
    <row r="408" ht="14.25" customHeight="1" x14ac:dyDescent="0.25"/>
    <row r="409" ht="14.25" customHeight="1" x14ac:dyDescent="0.25"/>
    <row r="410" ht="14.25" customHeight="1" x14ac:dyDescent="0.25"/>
    <row r="411" ht="14.25" customHeight="1" x14ac:dyDescent="0.25"/>
    <row r="412" ht="14.25" customHeight="1" x14ac:dyDescent="0.25"/>
    <row r="413" ht="14.25" customHeight="1" x14ac:dyDescent="0.25"/>
    <row r="414" ht="14.25" customHeight="1" x14ac:dyDescent="0.25"/>
    <row r="415" ht="14.25" customHeight="1" x14ac:dyDescent="0.25"/>
    <row r="416" ht="14.25" customHeight="1" x14ac:dyDescent="0.25"/>
    <row r="417" ht="14.25" customHeight="1" x14ac:dyDescent="0.25"/>
    <row r="418" ht="14.25" customHeight="1" x14ac:dyDescent="0.25"/>
    <row r="419" ht="14.25" customHeight="1" x14ac:dyDescent="0.25"/>
    <row r="420" ht="14.25" customHeight="1" x14ac:dyDescent="0.25"/>
    <row r="421" ht="14.25" customHeight="1" x14ac:dyDescent="0.25"/>
    <row r="422" ht="14.25" customHeight="1" x14ac:dyDescent="0.25"/>
    <row r="423" ht="14.25" customHeight="1" x14ac:dyDescent="0.25"/>
    <row r="424" ht="14.25" customHeight="1" x14ac:dyDescent="0.25"/>
    <row r="425" ht="14.25" customHeight="1" x14ac:dyDescent="0.25"/>
    <row r="426" ht="14.25" customHeight="1" x14ac:dyDescent="0.25"/>
    <row r="427" ht="14.25" customHeight="1" x14ac:dyDescent="0.25"/>
    <row r="428" ht="14.25" customHeight="1" x14ac:dyDescent="0.25"/>
    <row r="429" ht="14.25" customHeight="1" x14ac:dyDescent="0.25"/>
    <row r="430" ht="14.25" customHeight="1" x14ac:dyDescent="0.25"/>
    <row r="431" ht="14.25" customHeight="1" x14ac:dyDescent="0.25"/>
    <row r="432" ht="14.25" customHeight="1" x14ac:dyDescent="0.25"/>
    <row r="433" ht="14.25" customHeight="1" x14ac:dyDescent="0.25"/>
    <row r="434" ht="14.25" customHeight="1" x14ac:dyDescent="0.25"/>
    <row r="435" ht="14.25" customHeight="1" x14ac:dyDescent="0.25"/>
    <row r="436" ht="14.25" customHeight="1" x14ac:dyDescent="0.25"/>
    <row r="437" ht="14.25" customHeight="1" x14ac:dyDescent="0.25"/>
    <row r="438" ht="14.25" customHeight="1" x14ac:dyDescent="0.25"/>
    <row r="439" ht="14.25" customHeight="1" x14ac:dyDescent="0.25"/>
    <row r="440" ht="14.25" customHeight="1" x14ac:dyDescent="0.25"/>
    <row r="441" ht="14.25" customHeight="1" x14ac:dyDescent="0.25"/>
    <row r="442" ht="14.25" customHeight="1" x14ac:dyDescent="0.25"/>
    <row r="443" ht="14.25" customHeight="1" x14ac:dyDescent="0.25"/>
    <row r="444" ht="14.25" customHeight="1" x14ac:dyDescent="0.25"/>
    <row r="445" ht="14.25" customHeight="1" x14ac:dyDescent="0.25"/>
    <row r="446" ht="14.25" customHeight="1" x14ac:dyDescent="0.25"/>
    <row r="447" ht="14.25" customHeight="1" x14ac:dyDescent="0.25"/>
    <row r="448" ht="14.25" customHeight="1" x14ac:dyDescent="0.25"/>
    <row r="449" ht="14.25" customHeight="1" x14ac:dyDescent="0.25"/>
    <row r="450" ht="14.25" customHeight="1" x14ac:dyDescent="0.25"/>
    <row r="451" ht="14.25" customHeight="1" x14ac:dyDescent="0.25"/>
    <row r="452" ht="14.25" customHeight="1" x14ac:dyDescent="0.25"/>
    <row r="453" ht="14.25" customHeight="1" x14ac:dyDescent="0.25"/>
    <row r="454" ht="14.25" customHeight="1" x14ac:dyDescent="0.25"/>
    <row r="455" ht="14.25" customHeight="1" x14ac:dyDescent="0.25"/>
    <row r="456" ht="14.25" customHeight="1" x14ac:dyDescent="0.25"/>
    <row r="457" ht="14.25" customHeight="1" x14ac:dyDescent="0.25"/>
    <row r="458" ht="14.25" customHeight="1" x14ac:dyDescent="0.25"/>
    <row r="459" ht="14.25" customHeight="1" x14ac:dyDescent="0.25"/>
    <row r="460" ht="14.25" customHeight="1" x14ac:dyDescent="0.25"/>
    <row r="461" ht="14.25" customHeight="1" x14ac:dyDescent="0.25"/>
    <row r="462" ht="14.25" customHeight="1" x14ac:dyDescent="0.25"/>
    <row r="463" ht="14.25" customHeight="1" x14ac:dyDescent="0.25"/>
    <row r="464" ht="14.25" customHeight="1" x14ac:dyDescent="0.25"/>
    <row r="465" ht="14.25" customHeight="1" x14ac:dyDescent="0.25"/>
    <row r="466" ht="14.25" customHeight="1" x14ac:dyDescent="0.25"/>
    <row r="467" ht="14.25" customHeight="1" x14ac:dyDescent="0.25"/>
    <row r="468" ht="14.25" customHeight="1" x14ac:dyDescent="0.25"/>
    <row r="469" ht="14.25" customHeight="1" x14ac:dyDescent="0.25"/>
    <row r="470" ht="14.25" customHeight="1" x14ac:dyDescent="0.25"/>
    <row r="471" ht="14.25" customHeight="1" x14ac:dyDescent="0.25"/>
    <row r="472" ht="14.25" customHeight="1" x14ac:dyDescent="0.25"/>
    <row r="473" ht="14.25" customHeight="1" x14ac:dyDescent="0.25"/>
    <row r="474" ht="14.25" customHeight="1" x14ac:dyDescent="0.25"/>
    <row r="475" ht="14.25" customHeight="1" x14ac:dyDescent="0.25"/>
    <row r="476" ht="14.25" customHeight="1" x14ac:dyDescent="0.25"/>
    <row r="477" ht="14.25" customHeight="1" x14ac:dyDescent="0.25"/>
    <row r="478" ht="14.25" customHeight="1" x14ac:dyDescent="0.25"/>
    <row r="479" ht="14.25" customHeight="1" x14ac:dyDescent="0.25"/>
    <row r="480" ht="14.25" customHeight="1" x14ac:dyDescent="0.25"/>
    <row r="481" ht="14.25" customHeight="1" x14ac:dyDescent="0.25"/>
    <row r="482" ht="14.25" customHeight="1" x14ac:dyDescent="0.25"/>
    <row r="483" ht="14.25" customHeight="1" x14ac:dyDescent="0.25"/>
    <row r="484" ht="14.25" customHeight="1" x14ac:dyDescent="0.25"/>
    <row r="485" ht="14.25" customHeight="1" x14ac:dyDescent="0.25"/>
    <row r="486" ht="14.25" customHeight="1" x14ac:dyDescent="0.25"/>
    <row r="487" ht="14.25" customHeight="1" x14ac:dyDescent="0.25"/>
    <row r="488" ht="14.25" customHeight="1" x14ac:dyDescent="0.25"/>
    <row r="489" ht="14.25" customHeight="1" x14ac:dyDescent="0.25"/>
    <row r="490" ht="14.25" customHeight="1" x14ac:dyDescent="0.25"/>
    <row r="491" ht="14.25" customHeight="1" x14ac:dyDescent="0.25"/>
    <row r="492" ht="14.25" customHeight="1" x14ac:dyDescent="0.25"/>
    <row r="493" ht="14.25" customHeight="1" x14ac:dyDescent="0.25"/>
    <row r="494" ht="14.25" customHeight="1" x14ac:dyDescent="0.25"/>
    <row r="495" ht="14.25" customHeight="1" x14ac:dyDescent="0.25"/>
    <row r="496" ht="14.25" customHeight="1" x14ac:dyDescent="0.25"/>
    <row r="497" ht="14.25" customHeight="1" x14ac:dyDescent="0.25"/>
    <row r="498" ht="14.25" customHeight="1" x14ac:dyDescent="0.25"/>
    <row r="499" ht="14.25" customHeight="1" x14ac:dyDescent="0.25"/>
    <row r="500" ht="14.25" customHeight="1" x14ac:dyDescent="0.25"/>
    <row r="501" ht="14.25" customHeight="1" x14ac:dyDescent="0.25"/>
    <row r="502" ht="14.25" customHeight="1" x14ac:dyDescent="0.25"/>
    <row r="503" ht="14.25" customHeight="1" x14ac:dyDescent="0.25"/>
    <row r="504" ht="14.25" customHeight="1" x14ac:dyDescent="0.25"/>
    <row r="505" ht="14.25" customHeight="1" x14ac:dyDescent="0.25"/>
    <row r="506" ht="14.25" customHeight="1" x14ac:dyDescent="0.25"/>
    <row r="507" ht="14.25" customHeight="1" x14ac:dyDescent="0.25"/>
    <row r="508" ht="14.25" customHeight="1" x14ac:dyDescent="0.25"/>
    <row r="509" ht="14.25" customHeight="1" x14ac:dyDescent="0.25"/>
    <row r="510" ht="14.25" customHeight="1" x14ac:dyDescent="0.25"/>
    <row r="511" ht="14.25" customHeight="1" x14ac:dyDescent="0.25"/>
    <row r="512" ht="14.25" customHeight="1" x14ac:dyDescent="0.25"/>
    <row r="513" ht="14.25" customHeight="1" x14ac:dyDescent="0.25"/>
    <row r="514" ht="14.25" customHeight="1" x14ac:dyDescent="0.25"/>
    <row r="515" ht="14.25" customHeight="1" x14ac:dyDescent="0.25"/>
    <row r="516" ht="14.25" customHeight="1" x14ac:dyDescent="0.25"/>
    <row r="517" ht="14.25" customHeight="1" x14ac:dyDescent="0.25"/>
    <row r="518" ht="14.25" customHeight="1" x14ac:dyDescent="0.25"/>
    <row r="519" ht="14.25" customHeight="1" x14ac:dyDescent="0.25"/>
    <row r="520" ht="14.25" customHeight="1" x14ac:dyDescent="0.25"/>
    <row r="521" ht="14.25" customHeight="1" x14ac:dyDescent="0.25"/>
    <row r="522" ht="14.25" customHeight="1" x14ac:dyDescent="0.25"/>
    <row r="523" ht="14.25" customHeight="1" x14ac:dyDescent="0.25"/>
    <row r="524" ht="14.25" customHeight="1" x14ac:dyDescent="0.25"/>
    <row r="525" ht="14.25" customHeight="1" x14ac:dyDescent="0.25"/>
    <row r="526" ht="14.25" customHeight="1" x14ac:dyDescent="0.25"/>
    <row r="527" ht="14.25" customHeight="1" x14ac:dyDescent="0.25"/>
    <row r="528" ht="14.25" customHeight="1" x14ac:dyDescent="0.25"/>
    <row r="529" ht="14.25" customHeight="1" x14ac:dyDescent="0.25"/>
    <row r="530" ht="14.25" customHeight="1" x14ac:dyDescent="0.25"/>
    <row r="531" ht="14.25" customHeight="1" x14ac:dyDescent="0.25"/>
    <row r="532" ht="14.25" customHeight="1" x14ac:dyDescent="0.25"/>
    <row r="533" ht="14.25" customHeight="1" x14ac:dyDescent="0.25"/>
    <row r="534" ht="14.25" customHeight="1" x14ac:dyDescent="0.25"/>
    <row r="535" ht="14.25" customHeight="1" x14ac:dyDescent="0.25"/>
    <row r="536" ht="14.25" customHeight="1" x14ac:dyDescent="0.25"/>
    <row r="537" ht="14.25" customHeight="1" x14ac:dyDescent="0.25"/>
    <row r="538" ht="14.25" customHeight="1" x14ac:dyDescent="0.25"/>
    <row r="539" ht="14.25" customHeight="1" x14ac:dyDescent="0.25"/>
    <row r="540" ht="14.25" customHeight="1" x14ac:dyDescent="0.25"/>
    <row r="541" ht="14.25" customHeight="1" x14ac:dyDescent="0.25"/>
    <row r="542" ht="14.25" customHeight="1" x14ac:dyDescent="0.25"/>
    <row r="543" ht="14.25" customHeight="1" x14ac:dyDescent="0.25"/>
    <row r="544" ht="14.25" customHeight="1" x14ac:dyDescent="0.25"/>
    <row r="545" ht="14.25" customHeight="1" x14ac:dyDescent="0.25"/>
    <row r="546" ht="14.25" customHeight="1" x14ac:dyDescent="0.25"/>
    <row r="547" ht="14.25" customHeight="1" x14ac:dyDescent="0.25"/>
    <row r="548" ht="14.25" customHeight="1" x14ac:dyDescent="0.25"/>
    <row r="549" ht="14.25" customHeight="1" x14ac:dyDescent="0.25"/>
    <row r="550" ht="14.25" customHeight="1" x14ac:dyDescent="0.25"/>
    <row r="551" ht="14.25" customHeight="1" x14ac:dyDescent="0.25"/>
    <row r="552" ht="14.25" customHeight="1" x14ac:dyDescent="0.25"/>
    <row r="553" ht="14.25" customHeight="1" x14ac:dyDescent="0.25"/>
    <row r="554" ht="14.25" customHeight="1" x14ac:dyDescent="0.25"/>
    <row r="555" ht="14.25" customHeight="1" x14ac:dyDescent="0.25"/>
    <row r="556" ht="14.25" customHeight="1" x14ac:dyDescent="0.25"/>
    <row r="557" ht="14.25" customHeight="1" x14ac:dyDescent="0.25"/>
    <row r="558" ht="14.25" customHeight="1" x14ac:dyDescent="0.25"/>
    <row r="559" ht="14.25" customHeight="1" x14ac:dyDescent="0.25"/>
    <row r="560" ht="14.25" customHeight="1" x14ac:dyDescent="0.25"/>
    <row r="561" ht="14.25" customHeight="1" x14ac:dyDescent="0.25"/>
    <row r="562" ht="14.25" customHeight="1" x14ac:dyDescent="0.25"/>
    <row r="563" ht="14.25" customHeight="1" x14ac:dyDescent="0.25"/>
    <row r="564" ht="14.25" customHeight="1" x14ac:dyDescent="0.25"/>
    <row r="565" ht="14.25" customHeight="1" x14ac:dyDescent="0.25"/>
    <row r="566" ht="14.25" customHeight="1" x14ac:dyDescent="0.25"/>
    <row r="567" ht="14.25" customHeight="1" x14ac:dyDescent="0.25"/>
    <row r="568" ht="14.25" customHeight="1" x14ac:dyDescent="0.25"/>
    <row r="569" ht="14.25" customHeight="1" x14ac:dyDescent="0.25"/>
    <row r="570" ht="14.25" customHeight="1" x14ac:dyDescent="0.25"/>
    <row r="571" ht="14.25" customHeight="1" x14ac:dyDescent="0.25"/>
    <row r="572" ht="14.25" customHeight="1" x14ac:dyDescent="0.25"/>
    <row r="573" ht="14.25" customHeight="1" x14ac:dyDescent="0.25"/>
    <row r="574" ht="14.25" customHeight="1" x14ac:dyDescent="0.25"/>
    <row r="575" ht="14.25" customHeight="1" x14ac:dyDescent="0.25"/>
    <row r="576" ht="14.25" customHeight="1" x14ac:dyDescent="0.25"/>
    <row r="577" ht="14.25" customHeight="1" x14ac:dyDescent="0.25"/>
    <row r="578" ht="14.25" customHeight="1" x14ac:dyDescent="0.25"/>
    <row r="579" ht="14.25" customHeight="1" x14ac:dyDescent="0.25"/>
    <row r="580" ht="14.25" customHeight="1" x14ac:dyDescent="0.25"/>
    <row r="581" ht="14.25" customHeight="1" x14ac:dyDescent="0.25"/>
    <row r="582" ht="14.25" customHeight="1" x14ac:dyDescent="0.25"/>
    <row r="583" ht="14.25" customHeight="1" x14ac:dyDescent="0.25"/>
    <row r="584" ht="14.25" customHeight="1" x14ac:dyDescent="0.25"/>
    <row r="585" ht="14.25" customHeight="1" x14ac:dyDescent="0.25"/>
    <row r="586" ht="14.25" customHeight="1" x14ac:dyDescent="0.25"/>
    <row r="587" ht="14.25" customHeight="1" x14ac:dyDescent="0.25"/>
    <row r="588" ht="14.25" customHeight="1" x14ac:dyDescent="0.25"/>
    <row r="589" ht="14.25" customHeight="1" x14ac:dyDescent="0.25"/>
    <row r="590" ht="14.25" customHeight="1" x14ac:dyDescent="0.25"/>
    <row r="591" ht="14.25" customHeight="1" x14ac:dyDescent="0.25"/>
    <row r="592" ht="14.25" customHeight="1" x14ac:dyDescent="0.25"/>
    <row r="593" ht="14.25" customHeight="1" x14ac:dyDescent="0.25"/>
    <row r="594" ht="14.25" customHeight="1" x14ac:dyDescent="0.25"/>
    <row r="595" ht="14.25" customHeight="1" x14ac:dyDescent="0.25"/>
    <row r="596" ht="14.25" customHeight="1" x14ac:dyDescent="0.25"/>
    <row r="597" ht="14.25" customHeight="1" x14ac:dyDescent="0.25"/>
    <row r="598" ht="14.25" customHeight="1" x14ac:dyDescent="0.25"/>
    <row r="599" ht="14.25" customHeight="1" x14ac:dyDescent="0.25"/>
    <row r="600" ht="14.25" customHeight="1" x14ac:dyDescent="0.25"/>
    <row r="601" ht="14.25" customHeight="1" x14ac:dyDescent="0.25"/>
    <row r="602" ht="14.25" customHeight="1" x14ac:dyDescent="0.25"/>
    <row r="603" ht="14.25" customHeight="1" x14ac:dyDescent="0.25"/>
    <row r="604" ht="14.25" customHeight="1" x14ac:dyDescent="0.25"/>
    <row r="605" ht="14.25" customHeight="1" x14ac:dyDescent="0.25"/>
    <row r="606" ht="14.25" customHeight="1" x14ac:dyDescent="0.25"/>
    <row r="607" ht="14.25" customHeight="1" x14ac:dyDescent="0.25"/>
    <row r="608" ht="14.25" customHeight="1" x14ac:dyDescent="0.25"/>
    <row r="609" ht="14.25" customHeight="1" x14ac:dyDescent="0.25"/>
    <row r="610" ht="14.25" customHeight="1" x14ac:dyDescent="0.25"/>
    <row r="611" ht="14.25" customHeight="1" x14ac:dyDescent="0.25"/>
    <row r="612" ht="14.25" customHeight="1" x14ac:dyDescent="0.25"/>
    <row r="613" ht="14.25" customHeight="1" x14ac:dyDescent="0.25"/>
    <row r="614" ht="14.25" customHeight="1" x14ac:dyDescent="0.25"/>
    <row r="615" ht="14.25" customHeight="1" x14ac:dyDescent="0.25"/>
    <row r="616" ht="14.25" customHeight="1" x14ac:dyDescent="0.25"/>
    <row r="617" ht="14.25" customHeight="1" x14ac:dyDescent="0.25"/>
    <row r="618" ht="14.25" customHeight="1" x14ac:dyDescent="0.25"/>
    <row r="619" ht="14.25" customHeight="1" x14ac:dyDescent="0.25"/>
    <row r="620" ht="14.25" customHeight="1" x14ac:dyDescent="0.25"/>
    <row r="621" ht="14.25" customHeight="1" x14ac:dyDescent="0.25"/>
    <row r="622" ht="14.25" customHeight="1" x14ac:dyDescent="0.25"/>
    <row r="623" ht="14.25" customHeight="1" x14ac:dyDescent="0.25"/>
    <row r="624" ht="14.25" customHeight="1" x14ac:dyDescent="0.25"/>
    <row r="625" ht="14.25" customHeight="1" x14ac:dyDescent="0.25"/>
    <row r="626" ht="14.25" customHeight="1" x14ac:dyDescent="0.25"/>
    <row r="627" ht="14.25" customHeight="1" x14ac:dyDescent="0.25"/>
    <row r="628" ht="14.25" customHeight="1" x14ac:dyDescent="0.25"/>
    <row r="629" ht="14.25" customHeight="1" x14ac:dyDescent="0.25"/>
    <row r="630" ht="14.25" customHeight="1" x14ac:dyDescent="0.25"/>
    <row r="631" ht="14.25" customHeight="1" x14ac:dyDescent="0.25"/>
    <row r="632" ht="14.25" customHeight="1" x14ac:dyDescent="0.25"/>
    <row r="633" ht="14.25" customHeight="1" x14ac:dyDescent="0.25"/>
    <row r="634" ht="14.25" customHeight="1" x14ac:dyDescent="0.25"/>
    <row r="635" ht="14.25" customHeight="1" x14ac:dyDescent="0.25"/>
    <row r="636" ht="14.25" customHeight="1" x14ac:dyDescent="0.25"/>
    <row r="637" ht="14.25" customHeight="1" x14ac:dyDescent="0.25"/>
    <row r="638" ht="14.25" customHeight="1" x14ac:dyDescent="0.25"/>
    <row r="639" ht="14.25" customHeight="1" x14ac:dyDescent="0.25"/>
    <row r="640" ht="14.25" customHeight="1" x14ac:dyDescent="0.25"/>
    <row r="641" ht="14.25" customHeight="1" x14ac:dyDescent="0.25"/>
    <row r="642" ht="14.25" customHeight="1" x14ac:dyDescent="0.25"/>
    <row r="643" ht="14.25" customHeight="1" x14ac:dyDescent="0.25"/>
    <row r="644" ht="14.25" customHeight="1" x14ac:dyDescent="0.25"/>
    <row r="645" ht="14.25" customHeight="1" x14ac:dyDescent="0.25"/>
    <row r="646" ht="14.25" customHeight="1" x14ac:dyDescent="0.25"/>
    <row r="647" ht="14.25" customHeight="1" x14ac:dyDescent="0.25"/>
    <row r="648" ht="14.25" customHeight="1" x14ac:dyDescent="0.25"/>
    <row r="649" ht="14.25" customHeight="1" x14ac:dyDescent="0.25"/>
    <row r="650" ht="14.25" customHeight="1" x14ac:dyDescent="0.25"/>
    <row r="651" ht="14.25" customHeight="1" x14ac:dyDescent="0.25"/>
    <row r="652" ht="14.25" customHeight="1" x14ac:dyDescent="0.25"/>
    <row r="653" ht="14.25" customHeight="1" x14ac:dyDescent="0.25"/>
    <row r="654" ht="14.25" customHeight="1" x14ac:dyDescent="0.25"/>
    <row r="655" ht="14.25" customHeight="1" x14ac:dyDescent="0.25"/>
    <row r="656" ht="14.25" customHeight="1" x14ac:dyDescent="0.25"/>
    <row r="657" ht="14.25" customHeight="1" x14ac:dyDescent="0.25"/>
    <row r="658" ht="14.25" customHeight="1" x14ac:dyDescent="0.25"/>
    <row r="659" ht="14.25" customHeight="1" x14ac:dyDescent="0.25"/>
    <row r="660" ht="14.25" customHeight="1" x14ac:dyDescent="0.25"/>
    <row r="661" ht="14.25" customHeight="1" x14ac:dyDescent="0.25"/>
    <row r="662" ht="14.25" customHeight="1" x14ac:dyDescent="0.25"/>
    <row r="663" ht="14.25" customHeight="1" x14ac:dyDescent="0.25"/>
    <row r="664" ht="14.25" customHeight="1" x14ac:dyDescent="0.25"/>
    <row r="665" ht="14.25" customHeight="1" x14ac:dyDescent="0.25"/>
    <row r="666" ht="14.25" customHeight="1" x14ac:dyDescent="0.25"/>
    <row r="667" ht="14.25" customHeight="1" x14ac:dyDescent="0.25"/>
    <row r="668" ht="14.25" customHeight="1" x14ac:dyDescent="0.25"/>
    <row r="669" ht="14.25" customHeight="1" x14ac:dyDescent="0.25"/>
    <row r="670" ht="14.25" customHeight="1" x14ac:dyDescent="0.25"/>
    <row r="671" ht="14.25" customHeight="1" x14ac:dyDescent="0.25"/>
    <row r="672" ht="14.25" customHeight="1" x14ac:dyDescent="0.25"/>
    <row r="673" ht="14.25" customHeight="1" x14ac:dyDescent="0.25"/>
    <row r="674" ht="14.25" customHeight="1" x14ac:dyDescent="0.25"/>
    <row r="675" ht="14.25" customHeight="1" x14ac:dyDescent="0.25"/>
    <row r="676" ht="14.25" customHeight="1" x14ac:dyDescent="0.25"/>
    <row r="677" ht="14.25" customHeight="1" x14ac:dyDescent="0.25"/>
    <row r="678" ht="14.25" customHeight="1" x14ac:dyDescent="0.25"/>
    <row r="679" ht="14.25" customHeight="1" x14ac:dyDescent="0.25"/>
    <row r="680" ht="14.25" customHeight="1" x14ac:dyDescent="0.25"/>
    <row r="681" ht="14.25" customHeight="1" x14ac:dyDescent="0.25"/>
    <row r="682" ht="14.25" customHeight="1" x14ac:dyDescent="0.25"/>
    <row r="683" ht="14.25" customHeight="1" x14ac:dyDescent="0.25"/>
    <row r="684" ht="14.25" customHeight="1" x14ac:dyDescent="0.25"/>
    <row r="685" ht="14.25" customHeight="1" x14ac:dyDescent="0.25"/>
    <row r="686" ht="14.25" customHeight="1" x14ac:dyDescent="0.25"/>
    <row r="687" ht="14.25" customHeight="1" x14ac:dyDescent="0.25"/>
    <row r="688" ht="14.25" customHeight="1" x14ac:dyDescent="0.25"/>
    <row r="689" ht="14.25" customHeight="1" x14ac:dyDescent="0.25"/>
    <row r="690" ht="14.25" customHeight="1" x14ac:dyDescent="0.25"/>
    <row r="691" ht="14.25" customHeight="1" x14ac:dyDescent="0.25"/>
    <row r="692" ht="14.25" customHeight="1" x14ac:dyDescent="0.25"/>
    <row r="693" ht="14.25" customHeight="1" x14ac:dyDescent="0.25"/>
    <row r="694" ht="14.25" customHeight="1" x14ac:dyDescent="0.25"/>
    <row r="695" ht="14.25" customHeight="1" x14ac:dyDescent="0.25"/>
    <row r="696" ht="14.25" customHeight="1" x14ac:dyDescent="0.25"/>
    <row r="697" ht="14.25" customHeight="1" x14ac:dyDescent="0.25"/>
    <row r="698" ht="14.25" customHeight="1" x14ac:dyDescent="0.25"/>
    <row r="699" ht="14.25" customHeight="1" x14ac:dyDescent="0.25"/>
    <row r="700" ht="14.25" customHeight="1" x14ac:dyDescent="0.25"/>
    <row r="701" ht="14.25" customHeight="1" x14ac:dyDescent="0.25"/>
    <row r="702" ht="14.25" customHeight="1" x14ac:dyDescent="0.25"/>
    <row r="703" ht="14.25" customHeight="1" x14ac:dyDescent="0.25"/>
    <row r="704" ht="14.25" customHeight="1" x14ac:dyDescent="0.25"/>
    <row r="705" ht="14.25" customHeight="1" x14ac:dyDescent="0.25"/>
    <row r="706" ht="14.25" customHeight="1" x14ac:dyDescent="0.25"/>
    <row r="707" ht="14.25" customHeight="1" x14ac:dyDescent="0.25"/>
    <row r="708" ht="14.25" customHeight="1" x14ac:dyDescent="0.25"/>
    <row r="709" ht="14.25" customHeight="1" x14ac:dyDescent="0.25"/>
    <row r="710" ht="14.25" customHeight="1" x14ac:dyDescent="0.25"/>
    <row r="711" ht="14.25" customHeight="1" x14ac:dyDescent="0.25"/>
    <row r="712" ht="14.25" customHeight="1" x14ac:dyDescent="0.25"/>
    <row r="713" ht="14.25" customHeight="1" x14ac:dyDescent="0.25"/>
    <row r="714" ht="14.25" customHeight="1" x14ac:dyDescent="0.25"/>
    <row r="715" ht="14.25" customHeight="1" x14ac:dyDescent="0.25"/>
    <row r="716" ht="14.25" customHeight="1" x14ac:dyDescent="0.25"/>
    <row r="717" ht="14.25" customHeight="1" x14ac:dyDescent="0.25"/>
    <row r="718" ht="14.25" customHeight="1" x14ac:dyDescent="0.25"/>
    <row r="719" ht="14.25" customHeight="1" x14ac:dyDescent="0.25"/>
    <row r="720" ht="14.25" customHeight="1" x14ac:dyDescent="0.25"/>
    <row r="721" ht="14.25" customHeight="1" x14ac:dyDescent="0.25"/>
    <row r="722" ht="14.25" customHeight="1" x14ac:dyDescent="0.25"/>
    <row r="723" ht="14.25" customHeight="1" x14ac:dyDescent="0.25"/>
    <row r="724" ht="14.25" customHeight="1" x14ac:dyDescent="0.25"/>
    <row r="725" ht="14.25" customHeight="1" x14ac:dyDescent="0.25"/>
    <row r="726" ht="14.25" customHeight="1" x14ac:dyDescent="0.25"/>
    <row r="727" ht="14.25" customHeight="1" x14ac:dyDescent="0.25"/>
    <row r="728" ht="14.25" customHeight="1" x14ac:dyDescent="0.25"/>
    <row r="729" ht="14.25" customHeight="1" x14ac:dyDescent="0.25"/>
    <row r="730" ht="14.25" customHeight="1" x14ac:dyDescent="0.25"/>
    <row r="731" ht="14.25" customHeight="1" x14ac:dyDescent="0.25"/>
    <row r="732" ht="14.25" customHeight="1" x14ac:dyDescent="0.25"/>
    <row r="733" ht="14.25" customHeight="1" x14ac:dyDescent="0.25"/>
    <row r="734" ht="14.25" customHeight="1" x14ac:dyDescent="0.25"/>
    <row r="735" ht="14.25" customHeight="1" x14ac:dyDescent="0.25"/>
    <row r="736" ht="14.25" customHeight="1" x14ac:dyDescent="0.25"/>
    <row r="737" ht="14.25" customHeight="1" x14ac:dyDescent="0.25"/>
    <row r="738" ht="14.25" customHeight="1" x14ac:dyDescent="0.25"/>
    <row r="739" ht="14.25" customHeight="1" x14ac:dyDescent="0.25"/>
    <row r="740" ht="14.25" customHeight="1" x14ac:dyDescent="0.25"/>
    <row r="741" ht="14.25" customHeight="1" x14ac:dyDescent="0.25"/>
    <row r="742" ht="14.25" customHeight="1" x14ac:dyDescent="0.25"/>
    <row r="743" ht="14.25" customHeight="1" x14ac:dyDescent="0.25"/>
    <row r="744" ht="14.25" customHeight="1" x14ac:dyDescent="0.25"/>
    <row r="745" ht="14.25" customHeight="1" x14ac:dyDescent="0.25"/>
    <row r="746" ht="14.25" customHeight="1" x14ac:dyDescent="0.25"/>
    <row r="747" ht="14.25" customHeight="1" x14ac:dyDescent="0.25"/>
    <row r="748" ht="14.25" customHeight="1" x14ac:dyDescent="0.25"/>
    <row r="749" ht="14.25" customHeight="1" x14ac:dyDescent="0.25"/>
    <row r="750" ht="14.25" customHeight="1" x14ac:dyDescent="0.25"/>
    <row r="751" ht="14.25" customHeight="1" x14ac:dyDescent="0.25"/>
    <row r="752" ht="14.25" customHeight="1" x14ac:dyDescent="0.25"/>
    <row r="753" ht="14.25" customHeight="1" x14ac:dyDescent="0.25"/>
    <row r="754" ht="14.25" customHeight="1" x14ac:dyDescent="0.25"/>
    <row r="755" ht="14.25" customHeight="1" x14ac:dyDescent="0.25"/>
    <row r="756" ht="14.25" customHeight="1" x14ac:dyDescent="0.25"/>
    <row r="757" ht="14.25" customHeight="1" x14ac:dyDescent="0.25"/>
    <row r="758" ht="14.25" customHeight="1" x14ac:dyDescent="0.25"/>
    <row r="759" ht="14.25" customHeight="1" x14ac:dyDescent="0.25"/>
    <row r="760" ht="14.25" customHeight="1" x14ac:dyDescent="0.25"/>
    <row r="761" ht="14.25" customHeight="1" x14ac:dyDescent="0.25"/>
    <row r="762" ht="14.25" customHeight="1" x14ac:dyDescent="0.25"/>
    <row r="763" ht="14.25" customHeight="1" x14ac:dyDescent="0.25"/>
    <row r="764" ht="14.25" customHeight="1" x14ac:dyDescent="0.25"/>
    <row r="765" ht="14.25" customHeight="1" x14ac:dyDescent="0.25"/>
    <row r="766" ht="14.25" customHeight="1" x14ac:dyDescent="0.25"/>
    <row r="767" ht="14.25" customHeight="1" x14ac:dyDescent="0.25"/>
    <row r="768" ht="14.25" customHeight="1" x14ac:dyDescent="0.25"/>
    <row r="769" ht="14.25" customHeight="1" x14ac:dyDescent="0.25"/>
    <row r="770" ht="14.25" customHeight="1" x14ac:dyDescent="0.25"/>
    <row r="771" ht="14.25" customHeight="1" x14ac:dyDescent="0.25"/>
    <row r="772" ht="14.25" customHeight="1" x14ac:dyDescent="0.25"/>
    <row r="773" ht="14.25" customHeight="1" x14ac:dyDescent="0.25"/>
    <row r="774" ht="14.25" customHeight="1" x14ac:dyDescent="0.25"/>
    <row r="775" ht="14.25" customHeight="1" x14ac:dyDescent="0.25"/>
    <row r="776" ht="14.25" customHeight="1" x14ac:dyDescent="0.25"/>
    <row r="777" ht="14.25" customHeight="1" x14ac:dyDescent="0.25"/>
    <row r="778" ht="14.25" customHeight="1" x14ac:dyDescent="0.25"/>
    <row r="779" ht="14.25" customHeight="1" x14ac:dyDescent="0.25"/>
    <row r="780" ht="14.25" customHeight="1" x14ac:dyDescent="0.25"/>
    <row r="781" ht="14.25" customHeight="1" x14ac:dyDescent="0.25"/>
    <row r="782" ht="14.25" customHeight="1" x14ac:dyDescent="0.25"/>
    <row r="783" ht="14.25" customHeight="1" x14ac:dyDescent="0.25"/>
    <row r="784" ht="14.25" customHeight="1" x14ac:dyDescent="0.25"/>
    <row r="785" ht="14.25" customHeight="1" x14ac:dyDescent="0.25"/>
    <row r="786" ht="14.25" customHeight="1" x14ac:dyDescent="0.25"/>
    <row r="787" ht="14.25" customHeight="1" x14ac:dyDescent="0.25"/>
    <row r="788" ht="14.25" customHeight="1" x14ac:dyDescent="0.25"/>
    <row r="789" ht="14.25" customHeight="1" x14ac:dyDescent="0.25"/>
    <row r="790" ht="14.25" customHeight="1" x14ac:dyDescent="0.25"/>
    <row r="791" ht="14.25" customHeight="1" x14ac:dyDescent="0.25"/>
    <row r="792" ht="14.25" customHeight="1" x14ac:dyDescent="0.25"/>
    <row r="793" ht="14.25" customHeight="1" x14ac:dyDescent="0.25"/>
    <row r="794" ht="14.25" customHeight="1" x14ac:dyDescent="0.25"/>
    <row r="795" ht="14.25" customHeight="1" x14ac:dyDescent="0.25"/>
    <row r="796" ht="14.25" customHeight="1" x14ac:dyDescent="0.25"/>
    <row r="797" ht="14.25" customHeight="1" x14ac:dyDescent="0.25"/>
    <row r="798" ht="14.25" customHeight="1" x14ac:dyDescent="0.25"/>
    <row r="799" ht="14.25" customHeight="1" x14ac:dyDescent="0.25"/>
    <row r="800" ht="14.25" customHeight="1" x14ac:dyDescent="0.25"/>
    <row r="801" ht="14.25" customHeight="1" x14ac:dyDescent="0.25"/>
    <row r="802" ht="14.25" customHeight="1" x14ac:dyDescent="0.25"/>
    <row r="803" ht="14.25" customHeight="1" x14ac:dyDescent="0.25"/>
    <row r="804" ht="14.25" customHeight="1" x14ac:dyDescent="0.25"/>
    <row r="805" ht="14.25" customHeight="1" x14ac:dyDescent="0.25"/>
    <row r="806" ht="14.25" customHeight="1" x14ac:dyDescent="0.25"/>
    <row r="807" ht="14.25" customHeight="1" x14ac:dyDescent="0.25"/>
    <row r="808" ht="14.25" customHeight="1" x14ac:dyDescent="0.25"/>
    <row r="809" ht="14.25" customHeight="1" x14ac:dyDescent="0.25"/>
    <row r="810" ht="14.25" customHeight="1" x14ac:dyDescent="0.25"/>
    <row r="811" ht="14.25" customHeight="1" x14ac:dyDescent="0.25"/>
    <row r="812" ht="14.25" customHeight="1" x14ac:dyDescent="0.25"/>
    <row r="813" ht="14.25" customHeight="1" x14ac:dyDescent="0.25"/>
    <row r="814" ht="14.25" customHeight="1" x14ac:dyDescent="0.25"/>
    <row r="815" ht="14.25" customHeight="1" x14ac:dyDescent="0.25"/>
    <row r="816" ht="14.25" customHeight="1" x14ac:dyDescent="0.25"/>
    <row r="817" ht="14.25" customHeight="1" x14ac:dyDescent="0.25"/>
    <row r="818" ht="14.25" customHeight="1" x14ac:dyDescent="0.25"/>
    <row r="819" ht="14.25" customHeight="1" x14ac:dyDescent="0.25"/>
    <row r="820" ht="14.25" customHeight="1" x14ac:dyDescent="0.25"/>
    <row r="821" ht="14.25" customHeight="1" x14ac:dyDescent="0.25"/>
    <row r="822" ht="14.25" customHeight="1" x14ac:dyDescent="0.25"/>
    <row r="823" ht="14.25" customHeight="1" x14ac:dyDescent="0.25"/>
    <row r="824" ht="14.25" customHeight="1" x14ac:dyDescent="0.25"/>
    <row r="825" ht="14.25" customHeight="1" x14ac:dyDescent="0.25"/>
    <row r="826" ht="14.25" customHeight="1" x14ac:dyDescent="0.25"/>
    <row r="827" ht="14.25" customHeight="1" x14ac:dyDescent="0.25"/>
    <row r="828" ht="14.25" customHeight="1" x14ac:dyDescent="0.25"/>
    <row r="829" ht="14.25" customHeight="1" x14ac:dyDescent="0.25"/>
    <row r="830" ht="14.25" customHeight="1" x14ac:dyDescent="0.25"/>
    <row r="831" ht="14.25" customHeight="1" x14ac:dyDescent="0.25"/>
    <row r="832" ht="14.25" customHeight="1" x14ac:dyDescent="0.25"/>
    <row r="833" ht="14.25" customHeight="1" x14ac:dyDescent="0.25"/>
    <row r="834" ht="14.25" customHeight="1" x14ac:dyDescent="0.25"/>
    <row r="835" ht="14.25" customHeight="1" x14ac:dyDescent="0.25"/>
    <row r="836" ht="14.25" customHeight="1" x14ac:dyDescent="0.25"/>
    <row r="837" ht="14.25" customHeight="1" x14ac:dyDescent="0.25"/>
    <row r="838" ht="14.25" customHeight="1" x14ac:dyDescent="0.25"/>
    <row r="839" ht="14.25" customHeight="1" x14ac:dyDescent="0.25"/>
    <row r="840" ht="14.25" customHeight="1" x14ac:dyDescent="0.25"/>
    <row r="841" ht="14.25" customHeight="1" x14ac:dyDescent="0.25"/>
    <row r="842" ht="14.25" customHeight="1" x14ac:dyDescent="0.25"/>
    <row r="843" ht="14.25" customHeight="1" x14ac:dyDescent="0.25"/>
    <row r="844" ht="14.25" customHeight="1" x14ac:dyDescent="0.25"/>
    <row r="845" ht="14.25" customHeight="1" x14ac:dyDescent="0.25"/>
    <row r="846" ht="14.25" customHeight="1" x14ac:dyDescent="0.25"/>
    <row r="847" ht="14.25" customHeight="1" x14ac:dyDescent="0.25"/>
    <row r="848" ht="14.25" customHeight="1" x14ac:dyDescent="0.25"/>
    <row r="849" ht="14.25" customHeight="1" x14ac:dyDescent="0.25"/>
    <row r="850" ht="14.25" customHeight="1" x14ac:dyDescent="0.25"/>
    <row r="851" ht="14.25" customHeight="1" x14ac:dyDescent="0.25"/>
    <row r="852" ht="14.25" customHeight="1" x14ac:dyDescent="0.25"/>
    <row r="853" ht="14.25" customHeight="1" x14ac:dyDescent="0.25"/>
    <row r="854" ht="14.25" customHeight="1" x14ac:dyDescent="0.25"/>
    <row r="855" ht="14.25" customHeight="1" x14ac:dyDescent="0.25"/>
    <row r="856" ht="14.25" customHeight="1" x14ac:dyDescent="0.25"/>
    <row r="857" ht="14.25" customHeight="1" x14ac:dyDescent="0.25"/>
    <row r="858" ht="14.25" customHeight="1" x14ac:dyDescent="0.25"/>
    <row r="859" ht="14.25" customHeight="1" x14ac:dyDescent="0.25"/>
    <row r="860" ht="14.25" customHeight="1" x14ac:dyDescent="0.25"/>
    <row r="861" ht="14.25" customHeight="1" x14ac:dyDescent="0.25"/>
    <row r="862" ht="14.25" customHeight="1" x14ac:dyDescent="0.25"/>
    <row r="863" ht="14.25" customHeight="1" x14ac:dyDescent="0.25"/>
    <row r="864" ht="14.25" customHeight="1" x14ac:dyDescent="0.25"/>
    <row r="865" ht="14.25" customHeight="1" x14ac:dyDescent="0.25"/>
    <row r="866" ht="14.25" customHeight="1" x14ac:dyDescent="0.25"/>
    <row r="867" ht="14.25" customHeight="1" x14ac:dyDescent="0.25"/>
    <row r="868" ht="14.25" customHeight="1" x14ac:dyDescent="0.25"/>
    <row r="869" ht="14.25" customHeight="1" x14ac:dyDescent="0.25"/>
    <row r="870" ht="14.25" customHeight="1" x14ac:dyDescent="0.25"/>
    <row r="871" ht="14.25" customHeight="1" x14ac:dyDescent="0.25"/>
    <row r="872" ht="14.25" customHeight="1" x14ac:dyDescent="0.25"/>
    <row r="873" ht="14.25" customHeight="1" x14ac:dyDescent="0.25"/>
    <row r="874" ht="14.25" customHeight="1" x14ac:dyDescent="0.25"/>
    <row r="875" ht="14.25" customHeight="1" x14ac:dyDescent="0.25"/>
    <row r="876" ht="14.25" customHeight="1" x14ac:dyDescent="0.25"/>
    <row r="877" ht="14.25" customHeight="1" x14ac:dyDescent="0.25"/>
    <row r="878" ht="14.25" customHeight="1" x14ac:dyDescent="0.25"/>
    <row r="879" ht="14.25" customHeight="1" x14ac:dyDescent="0.25"/>
    <row r="880" ht="14.25" customHeight="1" x14ac:dyDescent="0.25"/>
    <row r="881" ht="14.25" customHeight="1" x14ac:dyDescent="0.25"/>
    <row r="882" ht="14.25" customHeight="1" x14ac:dyDescent="0.25"/>
    <row r="883" ht="14.25" customHeight="1" x14ac:dyDescent="0.25"/>
    <row r="884" ht="14.25" customHeight="1" x14ac:dyDescent="0.25"/>
    <row r="885" ht="14.25" customHeight="1" x14ac:dyDescent="0.25"/>
    <row r="886" ht="14.25" customHeight="1" x14ac:dyDescent="0.25"/>
    <row r="887" ht="14.25" customHeight="1" x14ac:dyDescent="0.25"/>
    <row r="888" ht="14.25" customHeight="1" x14ac:dyDescent="0.25"/>
    <row r="889" ht="14.25" customHeight="1" x14ac:dyDescent="0.25"/>
    <row r="890" ht="14.25" customHeight="1" x14ac:dyDescent="0.25"/>
    <row r="891" ht="14.25" customHeight="1" x14ac:dyDescent="0.25"/>
    <row r="892" ht="14.25" customHeight="1" x14ac:dyDescent="0.25"/>
    <row r="893" ht="14.25" customHeight="1" x14ac:dyDescent="0.25"/>
    <row r="894" ht="14.25" customHeight="1" x14ac:dyDescent="0.25"/>
    <row r="895" ht="14.25" customHeight="1" x14ac:dyDescent="0.25"/>
    <row r="896" ht="14.25" customHeight="1" x14ac:dyDescent="0.25"/>
    <row r="897" ht="14.25" customHeight="1" x14ac:dyDescent="0.25"/>
    <row r="898" ht="14.25" customHeight="1" x14ac:dyDescent="0.25"/>
    <row r="899" ht="14.25" customHeight="1" x14ac:dyDescent="0.25"/>
    <row r="900" ht="14.25" customHeight="1" x14ac:dyDescent="0.25"/>
    <row r="901" ht="14.25" customHeight="1" x14ac:dyDescent="0.25"/>
    <row r="902" ht="14.25" customHeight="1" x14ac:dyDescent="0.25"/>
    <row r="903" ht="14.25" customHeight="1" x14ac:dyDescent="0.25"/>
    <row r="904" ht="14.25" customHeight="1" x14ac:dyDescent="0.25"/>
    <row r="905" ht="14.25" customHeight="1" x14ac:dyDescent="0.25"/>
    <row r="906" ht="14.25" customHeight="1" x14ac:dyDescent="0.25"/>
    <row r="907" ht="14.25" customHeight="1" x14ac:dyDescent="0.25"/>
    <row r="908" ht="14.25" customHeight="1" x14ac:dyDescent="0.25"/>
    <row r="909" ht="14.25" customHeight="1" x14ac:dyDescent="0.25"/>
    <row r="910" ht="14.25" customHeight="1" x14ac:dyDescent="0.25"/>
    <row r="911" ht="14.25" customHeight="1" x14ac:dyDescent="0.25"/>
    <row r="912" ht="14.25" customHeight="1" x14ac:dyDescent="0.25"/>
    <row r="913" ht="14.25" customHeight="1" x14ac:dyDescent="0.25"/>
    <row r="914" ht="14.25" customHeight="1" x14ac:dyDescent="0.25"/>
    <row r="915" ht="14.25" customHeight="1" x14ac:dyDescent="0.25"/>
    <row r="916" ht="14.25" customHeight="1" x14ac:dyDescent="0.25"/>
    <row r="917" ht="14.25" customHeight="1" x14ac:dyDescent="0.25"/>
    <row r="918" ht="14.25" customHeight="1" x14ac:dyDescent="0.25"/>
    <row r="919" ht="14.25" customHeight="1" x14ac:dyDescent="0.25"/>
    <row r="920" ht="14.25" customHeight="1" x14ac:dyDescent="0.25"/>
    <row r="921" ht="14.25" customHeight="1" x14ac:dyDescent="0.25"/>
    <row r="922" ht="14.25" customHeight="1" x14ac:dyDescent="0.25"/>
    <row r="923" ht="14.25" customHeight="1" x14ac:dyDescent="0.25"/>
    <row r="924" ht="14.25" customHeight="1" x14ac:dyDescent="0.25"/>
    <row r="925" ht="14.25" customHeight="1" x14ac:dyDescent="0.25"/>
    <row r="926" ht="14.25" customHeight="1" x14ac:dyDescent="0.25"/>
    <row r="927" ht="14.25" customHeight="1" x14ac:dyDescent="0.25"/>
    <row r="928" ht="14.25" customHeight="1" x14ac:dyDescent="0.25"/>
    <row r="929" ht="14.25" customHeight="1" x14ac:dyDescent="0.25"/>
    <row r="930" ht="14.25" customHeight="1" x14ac:dyDescent="0.25"/>
    <row r="931" ht="14.25" customHeight="1" x14ac:dyDescent="0.25"/>
    <row r="932" ht="14.25" customHeight="1" x14ac:dyDescent="0.25"/>
    <row r="933" ht="14.25" customHeight="1" x14ac:dyDescent="0.25"/>
    <row r="934" ht="14.25" customHeight="1" x14ac:dyDescent="0.25"/>
    <row r="935" ht="14.25" customHeight="1" x14ac:dyDescent="0.25"/>
    <row r="936" ht="14.25" customHeight="1" x14ac:dyDescent="0.25"/>
    <row r="937" ht="14.25" customHeight="1" x14ac:dyDescent="0.25"/>
    <row r="938" ht="14.25" customHeight="1" x14ac:dyDescent="0.25"/>
    <row r="939" ht="14.25" customHeight="1" x14ac:dyDescent="0.25"/>
    <row r="940" ht="14.25" customHeight="1" x14ac:dyDescent="0.25"/>
    <row r="941" ht="14.25" customHeight="1" x14ac:dyDescent="0.25"/>
    <row r="942" ht="14.25" customHeight="1" x14ac:dyDescent="0.25"/>
    <row r="943" ht="14.25" customHeight="1" x14ac:dyDescent="0.25"/>
    <row r="944" ht="14.25" customHeight="1" x14ac:dyDescent="0.25"/>
    <row r="945" ht="14.25" customHeight="1" x14ac:dyDescent="0.25"/>
    <row r="946" ht="14.25" customHeight="1" x14ac:dyDescent="0.25"/>
    <row r="947" ht="14.25" customHeight="1" x14ac:dyDescent="0.25"/>
    <row r="948" ht="14.25" customHeight="1" x14ac:dyDescent="0.25"/>
    <row r="949" ht="14.25" customHeight="1" x14ac:dyDescent="0.25"/>
    <row r="950" ht="14.25" customHeight="1" x14ac:dyDescent="0.25"/>
    <row r="951" ht="14.25" customHeight="1" x14ac:dyDescent="0.25"/>
    <row r="952" ht="14.25" customHeight="1" x14ac:dyDescent="0.25"/>
    <row r="953" ht="14.25" customHeight="1" x14ac:dyDescent="0.25"/>
    <row r="954" ht="14.25" customHeight="1" x14ac:dyDescent="0.25"/>
    <row r="955" ht="14.25" customHeight="1" x14ac:dyDescent="0.25"/>
    <row r="956" ht="14.25" customHeight="1" x14ac:dyDescent="0.25"/>
    <row r="957" ht="14.25" customHeight="1" x14ac:dyDescent="0.25"/>
    <row r="958" ht="14.25" customHeight="1" x14ac:dyDescent="0.25"/>
    <row r="959" ht="14.25" customHeight="1" x14ac:dyDescent="0.25"/>
    <row r="960" ht="14.25" customHeight="1" x14ac:dyDescent="0.25"/>
    <row r="961" ht="14.25" customHeight="1" x14ac:dyDescent="0.25"/>
    <row r="962" ht="14.25" customHeight="1" x14ac:dyDescent="0.25"/>
    <row r="963" ht="14.25" customHeight="1" x14ac:dyDescent="0.25"/>
    <row r="964" ht="14.25" customHeight="1" x14ac:dyDescent="0.25"/>
    <row r="965" ht="14.25" customHeight="1" x14ac:dyDescent="0.25"/>
    <row r="966" ht="14.25" customHeight="1" x14ac:dyDescent="0.25"/>
    <row r="967" ht="14.25" customHeight="1" x14ac:dyDescent="0.25"/>
    <row r="968" ht="14.25" customHeight="1" x14ac:dyDescent="0.25"/>
    <row r="969" ht="14.25" customHeight="1" x14ac:dyDescent="0.25"/>
    <row r="970" ht="14.25" customHeight="1" x14ac:dyDescent="0.25"/>
    <row r="971" ht="14.25" customHeight="1" x14ac:dyDescent="0.25"/>
    <row r="972" ht="14.25" customHeight="1" x14ac:dyDescent="0.25"/>
    <row r="973" ht="14.25" customHeight="1" x14ac:dyDescent="0.25"/>
    <row r="974" ht="14.25" customHeight="1" x14ac:dyDescent="0.25"/>
    <row r="975" ht="14.25" customHeight="1" x14ac:dyDescent="0.25"/>
    <row r="976" ht="14.25" customHeight="1" x14ac:dyDescent="0.25"/>
    <row r="977" ht="14.25" customHeight="1" x14ac:dyDescent="0.25"/>
    <row r="978" ht="14.25" customHeight="1" x14ac:dyDescent="0.25"/>
    <row r="979" ht="14.25" customHeight="1" x14ac:dyDescent="0.25"/>
    <row r="980" ht="14.25" customHeight="1" x14ac:dyDescent="0.25"/>
    <row r="981" ht="14.25" customHeight="1" x14ac:dyDescent="0.25"/>
    <row r="982" ht="14.25" customHeight="1" x14ac:dyDescent="0.25"/>
    <row r="983" ht="14.25" customHeight="1" x14ac:dyDescent="0.25"/>
    <row r="984" ht="14.25" customHeight="1" x14ac:dyDescent="0.25"/>
    <row r="985" ht="14.25" customHeight="1" x14ac:dyDescent="0.25"/>
    <row r="986" ht="14.25" customHeight="1" x14ac:dyDescent="0.25"/>
    <row r="987" ht="14.25" customHeight="1" x14ac:dyDescent="0.25"/>
    <row r="988" ht="14.25" customHeight="1" x14ac:dyDescent="0.25"/>
    <row r="989" ht="14.25" customHeight="1" x14ac:dyDescent="0.25"/>
    <row r="990" ht="14.25" customHeight="1" x14ac:dyDescent="0.25"/>
    <row r="991" ht="14.25" customHeight="1" x14ac:dyDescent="0.25"/>
    <row r="992" ht="14.25" customHeight="1" x14ac:dyDescent="0.25"/>
    <row r="993" ht="14.25" customHeight="1" x14ac:dyDescent="0.25"/>
    <row r="994" ht="14.25" customHeight="1" x14ac:dyDescent="0.25"/>
    <row r="995" ht="14.25" customHeight="1" x14ac:dyDescent="0.25"/>
    <row r="996" ht="14.25" customHeight="1" x14ac:dyDescent="0.25"/>
    <row r="997" ht="14.25" customHeight="1" x14ac:dyDescent="0.25"/>
    <row r="998" ht="14.25" customHeight="1" x14ac:dyDescent="0.25"/>
    <row r="999" ht="14.25" customHeight="1" x14ac:dyDescent="0.25"/>
    <row r="1000" ht="14.25" customHeight="1" x14ac:dyDescent="0.25"/>
  </sheetData>
  <pageMargins left="0.7" right="0.7" top="0.75" bottom="0.75" header="0" footer="0"/>
  <pageSetup orientation="landscape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7</vt:i4>
      </vt:variant>
    </vt:vector>
  </HeadingPairs>
  <TitlesOfParts>
    <vt:vector size="7" baseType="lpstr">
      <vt:lpstr>gamelog</vt:lpstr>
      <vt:lpstr>championship_games</vt:lpstr>
      <vt:lpstr>teams_owners</vt:lpstr>
      <vt:lpstr>reg_season_tables</vt:lpstr>
      <vt:lpstr>draft</vt:lpstr>
      <vt:lpstr>Bench Points</vt:lpstr>
      <vt:lpstr>PlayerPoints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rob taylor</dc:creator>
  <cp:lastModifiedBy>Ngaire Dunn</cp:lastModifiedBy>
  <dcterms:created xsi:type="dcterms:W3CDTF">2020-07-09T11:08:26Z</dcterms:created>
  <dcterms:modified xsi:type="dcterms:W3CDTF">2025-10-16T21:51:37Z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MSIP_Label_defa4170-0d19-0005-0004-bc88714345d2_Enabled">
    <vt:lpwstr>true</vt:lpwstr>
  </property>
  <property fmtid="{D5CDD505-2E9C-101B-9397-08002B2CF9AE}" pid="3" name="MSIP_Label_defa4170-0d19-0005-0004-bc88714345d2_SetDate">
    <vt:lpwstr>2024-10-30T18:21:59Z</vt:lpwstr>
  </property>
  <property fmtid="{D5CDD505-2E9C-101B-9397-08002B2CF9AE}" pid="4" name="MSIP_Label_defa4170-0d19-0005-0004-bc88714345d2_Method">
    <vt:lpwstr>Standard</vt:lpwstr>
  </property>
  <property fmtid="{D5CDD505-2E9C-101B-9397-08002B2CF9AE}" pid="5" name="MSIP_Label_defa4170-0d19-0005-0004-bc88714345d2_Name">
    <vt:lpwstr>defa4170-0d19-0005-0004-bc88714345d2</vt:lpwstr>
  </property>
  <property fmtid="{D5CDD505-2E9C-101B-9397-08002B2CF9AE}" pid="6" name="MSIP_Label_defa4170-0d19-0005-0004-bc88714345d2_SiteId">
    <vt:lpwstr>59a22190-33d4-4c54-b3ee-78dc308e767b</vt:lpwstr>
  </property>
  <property fmtid="{D5CDD505-2E9C-101B-9397-08002B2CF9AE}" pid="7" name="MSIP_Label_defa4170-0d19-0005-0004-bc88714345d2_ActionId">
    <vt:lpwstr>53d8633e-7e61-42ed-9689-687245b2fb44</vt:lpwstr>
  </property>
  <property fmtid="{D5CDD505-2E9C-101B-9397-08002B2CF9AE}" pid="8" name="MSIP_Label_defa4170-0d19-0005-0004-bc88714345d2_ContentBits">
    <vt:lpwstr>0</vt:lpwstr>
  </property>
</Properties>
</file>